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UN FIYAT ANALIZ" state="visible" r:id="rId4"/>
    <sheet sheetId="2" name="RENK ACIKLAMASI" state="visible" r:id="rId5"/>
  </sheets>
  <calcPr calcId="171027"/>
</workbook>
</file>

<file path=xl/sharedStrings.xml><?xml version="1.0" encoding="utf-8"?>
<sst xmlns="http://schemas.openxmlformats.org/spreadsheetml/2006/main" count="6884" uniqueCount="2785">
  <si>
    <t>ANA GRUP</t>
  </si>
  <si>
    <t>ALT GRUP</t>
  </si>
  <si>
    <t>STOK KODU</t>
  </si>
  <si>
    <t>URUN ADI</t>
  </si>
  <si>
    <t>TOPLAM ADET</t>
  </si>
  <si>
    <t>TL ORT BIRIM FIYAT</t>
  </si>
  <si>
    <t>ILK ALIM TARIHI</t>
  </si>
  <si>
    <t>ILK TL BIRIM FIYAT</t>
  </si>
  <si>
    <t>EKI/KAS/ARA AYIN</t>
  </si>
  <si>
    <t>EKI/KAS/ARA FIYATI</t>
  </si>
  <si>
    <t>ILK → EKA ARTIS %</t>
  </si>
  <si>
    <t>OCA 2026 FIYATI</t>
  </si>
  <si>
    <t>EKA → OCA26 ARTIS %</t>
  </si>
  <si>
    <t>SON ALIM TARIHI</t>
  </si>
  <si>
    <t>SON ALIM TL FIYATI</t>
  </si>
  <si>
    <t>OCA26 → SON ARTIS %</t>
  </si>
  <si>
    <t>ORT ALIM SIKLIGI (GUN)</t>
  </si>
  <si>
    <t>ALIM SAYISI</t>
  </si>
  <si>
    <t>SON ALIMDAN (GUN)</t>
  </si>
  <si>
    <t>▶  HAMMADDE</t>
  </si>
  <si>
    <t>HAMMADDE</t>
  </si>
  <si>
    <t>3D-BASKI</t>
  </si>
  <si>
    <t>3DBK0099H004</t>
  </si>
  <si>
    <t>MERDİVEN AYAK</t>
  </si>
  <si>
    <t>-</t>
  </si>
  <si>
    <t>3DBK0099H005</t>
  </si>
  <si>
    <t>MERDİVEN DESTEK</t>
  </si>
  <si>
    <t>3DBK0099H006</t>
  </si>
  <si>
    <t>THULE KAPAK</t>
  </si>
  <si>
    <t>3DBK0099H003</t>
  </si>
  <si>
    <t>UZATILMIŞ HEK LOLU</t>
  </si>
  <si>
    <t>BEDELSIZ</t>
  </si>
  <si>
    <t>BDXX0099H037</t>
  </si>
  <si>
    <t>FREEDOM STOP LAMBASI</t>
  </si>
  <si>
    <t>KRXX0099H380</t>
  </si>
  <si>
    <t>MENFEZ BAĞLANTI PARÇASI 60 MM</t>
  </si>
  <si>
    <t>CADIR</t>
  </si>
  <si>
    <t>UBAU0099H033</t>
  </si>
  <si>
    <t>ÇADIR BAĞLANTI BRAKETİ</t>
  </si>
  <si>
    <t>UBAU0099H009</t>
  </si>
  <si>
    <t>ÇADIR YAPRAK MENTEŞE SİYAH HAFELE 102X76X3</t>
  </si>
  <si>
    <t>UBAU0099H032</t>
  </si>
  <si>
    <t>FİTİL SÜNGER ÇADIR</t>
  </si>
  <si>
    <t>UBAU0099H043</t>
  </si>
  <si>
    <t>URBAN BADGER ARAÇ ÜSTÜ ÇADIR GÖVDE PÜTÜRLÜ</t>
  </si>
  <si>
    <t>UBAU0099H040</t>
  </si>
  <si>
    <t>YUVARLAK NOKTA IŞIKLI ON-OFF ANAHTAR 12V</t>
  </si>
  <si>
    <t>DOSEME</t>
  </si>
  <si>
    <t>DSXX0099H115</t>
  </si>
  <si>
    <t>% 100 POLYESTER POLAR GRİ</t>
  </si>
  <si>
    <t>DSXX0099H116</t>
  </si>
  <si>
    <t>% 100 POLYESTER POLAR KREM</t>
  </si>
  <si>
    <t>DSXX0099H043</t>
  </si>
  <si>
    <t>ATLAS ÇADIR KUMAŞI</t>
  </si>
  <si>
    <t>2025-12</t>
  </si>
  <si>
    <t>DSXX0099H001</t>
  </si>
  <si>
    <t>BASKILI ASTAR TELA</t>
  </si>
  <si>
    <t>2025-10</t>
  </si>
  <si>
    <t>DSXX0099H050</t>
  </si>
  <si>
    <t>CIRT İLMİK</t>
  </si>
  <si>
    <t>2025-11</t>
  </si>
  <si>
    <t>DSXX0099H062</t>
  </si>
  <si>
    <t>CIRT YUVARLAK</t>
  </si>
  <si>
    <t>DSXX0099H110</t>
  </si>
  <si>
    <t>CRAFT EVRAK CANTASI</t>
  </si>
  <si>
    <t>DSXX0099H107</t>
  </si>
  <si>
    <t>Ford Transıt 350 L Perde</t>
  </si>
  <si>
    <t>DSXX0099H004</t>
  </si>
  <si>
    <t>İPLİK KAYTAN</t>
  </si>
  <si>
    <t>DSXX0099H111</t>
  </si>
  <si>
    <t>KAYNAK BANDI CADIR</t>
  </si>
  <si>
    <t>DSXX0099H099</t>
  </si>
  <si>
    <t>KEÇE YATAK ZEUGMA V-143</t>
  </si>
  <si>
    <t>DSXX0099H064</t>
  </si>
  <si>
    <t>KUMAŞ ELYAF 120 GR</t>
  </si>
  <si>
    <t>DSXX0099H100</t>
  </si>
  <si>
    <t>KUMAŞ KREM STEP 20</t>
  </si>
  <si>
    <t>DSXX0099H033</t>
  </si>
  <si>
    <t>KUMAŞ PELUŞ AÇIK GÜMÜŞ GRİ 4138</t>
  </si>
  <si>
    <t>DSXX0099H117</t>
  </si>
  <si>
    <t>KUMAŞ PELUŞ AÇIK KREM 4140</t>
  </si>
  <si>
    <t>DSXX0099H020</t>
  </si>
  <si>
    <t>KUMAŞ PELUŞ GRİ</t>
  </si>
  <si>
    <t>DSXX0099H047</t>
  </si>
  <si>
    <t>KUMAŞ PELUŞ KREM</t>
  </si>
  <si>
    <t>DSXX0099H029</t>
  </si>
  <si>
    <t>KUMAŞ SUNİ DERİ İNCE SİYAH</t>
  </si>
  <si>
    <t>DSXX0099H104</t>
  </si>
  <si>
    <t>KUMAŞ SUNİ DERİ KAHVERENGİ</t>
  </si>
  <si>
    <t>DSXX0099H114</t>
  </si>
  <si>
    <t>POLY 3-020</t>
  </si>
  <si>
    <t>DSXX0099H084</t>
  </si>
  <si>
    <t>POLY 30-9158</t>
  </si>
  <si>
    <t>DSXX0099H109</t>
  </si>
  <si>
    <t>SANTORINI SUNI DERİ MAVI</t>
  </si>
  <si>
    <t>DSXX0099H106</t>
  </si>
  <si>
    <t>SOFTSHELL MEMBRANLI KUMAS</t>
  </si>
  <si>
    <t>DSXX0099H055</t>
  </si>
  <si>
    <t>STEP 201 KREM</t>
  </si>
  <si>
    <t>DSXX0099H108</t>
  </si>
  <si>
    <t>SUNI DERI SMOOTH FR 020 KREM</t>
  </si>
  <si>
    <t>DSXX28DNH036</t>
  </si>
  <si>
    <t>SÜNGER 1.20x2.40 28 DNS 8LİK</t>
  </si>
  <si>
    <t>DSXX0099H061</t>
  </si>
  <si>
    <t>SÜNGER 1.40x2.40 28 DNS 3LÜK</t>
  </si>
  <si>
    <t>DSXX0099H060</t>
  </si>
  <si>
    <t>SÜNGER 1.40x2.40 28 DNS 5LİK</t>
  </si>
  <si>
    <t>DSXX28DNH035</t>
  </si>
  <si>
    <t>SÜNGER 1.40x2.40 28 DNS 8LİK</t>
  </si>
  <si>
    <t>DSXX0099H065</t>
  </si>
  <si>
    <t>SÜNGER ASTARLI 1/2LİK</t>
  </si>
  <si>
    <t>DSXX0099H041</t>
  </si>
  <si>
    <t>SÜNGER ASTARLI 1LİK</t>
  </si>
  <si>
    <t>DSXX0099H113</t>
  </si>
  <si>
    <t>YASSI LASTİK 1,5 CM-10 METRE</t>
  </si>
  <si>
    <t>DSXX0099H044</t>
  </si>
  <si>
    <t>YATAK KUMAŞI BEYAZ</t>
  </si>
  <si>
    <t>ELEKTRIK</t>
  </si>
  <si>
    <t>ELSF0099H177</t>
  </si>
  <si>
    <t>3X4 YANMAZ FLEX KABLO</t>
  </si>
  <si>
    <t>ELTS0099H003</t>
  </si>
  <si>
    <t>AKÜ 100 AH</t>
  </si>
  <si>
    <t>ELTS0099H119</t>
  </si>
  <si>
    <t>AKÜ 110 AH</t>
  </si>
  <si>
    <t>ELSF0099H069</t>
  </si>
  <si>
    <t>AKÜ KUTUP BAŞI KORUMA KILIFI KIRMIZI</t>
  </si>
  <si>
    <t>ELSF0099H141</t>
  </si>
  <si>
    <t>AKÜ KUTUP BAŞI KORUMA KILIFI SİYAH</t>
  </si>
  <si>
    <t>ELTS0099H012</t>
  </si>
  <si>
    <t>AKÜ LİTYUM 100 AH</t>
  </si>
  <si>
    <t>ELTS0099H067</t>
  </si>
  <si>
    <t>AKÜ LİTYUM 150 AH</t>
  </si>
  <si>
    <t>ELTS0099H069</t>
  </si>
  <si>
    <t>AKÜ LİTYUM 200 AH</t>
  </si>
  <si>
    <t>ELTS0099H121</t>
  </si>
  <si>
    <t>AKÜ LİTYUM 300 AH</t>
  </si>
  <si>
    <t>NMN489</t>
  </si>
  <si>
    <t>AKÜ ŞALTERİ DEVRE KESİCİ 12V-24V 275A</t>
  </si>
  <si>
    <t>ELTS0099H158</t>
  </si>
  <si>
    <t>ELTS0099H130</t>
  </si>
  <si>
    <t>AKÜ ŞALTERİ DEVRE KESİCİ 12V-24V 300A</t>
  </si>
  <si>
    <t>ELTS0099H141</t>
  </si>
  <si>
    <t>ARS ARSVİSİON 16 LED KARE</t>
  </si>
  <si>
    <t>ELTS0099H165</t>
  </si>
  <si>
    <t>ASKERİ TİP KONNEKTÖR 150 A 3 PİN</t>
  </si>
  <si>
    <t>ELTS0099H166</t>
  </si>
  <si>
    <t>ASKERİ TİP KONNEKTÖR 80 A 3 PİN</t>
  </si>
  <si>
    <t>ELTS0099H013</t>
  </si>
  <si>
    <t>AYDINLATMA DOKUNMATİK GRİ - BEYAZ IŞIK</t>
  </si>
  <si>
    <t>ELTS0099H142</t>
  </si>
  <si>
    <t>AYDINLATMA GRİ - GÜN IŞIĞI</t>
  </si>
  <si>
    <t>ELSF0099H006</t>
  </si>
  <si>
    <t>BARA VİDALI 6LI 150 A</t>
  </si>
  <si>
    <t>ELSF0099H007</t>
  </si>
  <si>
    <t>BICAK SİGORTA 10 A</t>
  </si>
  <si>
    <t>ELSF0099H008</t>
  </si>
  <si>
    <t>BICAK SİGORTA 15 A</t>
  </si>
  <si>
    <t>ELSF0099H009</t>
  </si>
  <si>
    <t>BICAK SİGORTA 20 A</t>
  </si>
  <si>
    <t>ELSF0099H186</t>
  </si>
  <si>
    <t>BICAK SİGORTA 25A MTA</t>
  </si>
  <si>
    <t>ELSF0099H183</t>
  </si>
  <si>
    <t>BICAK SİGORTA 30 A</t>
  </si>
  <si>
    <t>ELSF0099H185</t>
  </si>
  <si>
    <t>BICAK SİGORTA 5A MTA</t>
  </si>
  <si>
    <t>ELTS0099H101</t>
  </si>
  <si>
    <t>BIÇAK SİGORTA KUTUSU 4LÜ</t>
  </si>
  <si>
    <t>ELTS0099H096</t>
  </si>
  <si>
    <t>CHARGER 25A (110V-230V)</t>
  </si>
  <si>
    <t>ELTS0099H068</t>
  </si>
  <si>
    <t>CHARGER GÜÇ (POWER) BESLEME KABLOSU</t>
  </si>
  <si>
    <t>ELTS0099H134</t>
  </si>
  <si>
    <t>ÇAKMAKLIK 12V</t>
  </si>
  <si>
    <t>ELSF0099H210</t>
  </si>
  <si>
    <t>ÇİFT GİRİŞLİ YÜKSÜK 1 MM KIRMIZI</t>
  </si>
  <si>
    <t>ELSF0099H211</t>
  </si>
  <si>
    <t>ÇİFT GİRİŞLİ YÜKSÜK 1 MM SARI</t>
  </si>
  <si>
    <t>ELSF0099H208</t>
  </si>
  <si>
    <t>ÇİFT GİRİŞLİ YÜKSÜK 2,5 MM GRİ</t>
  </si>
  <si>
    <t>ELTS0099H052</t>
  </si>
  <si>
    <t>DC-DC 20A CHARGER TEK YÖN</t>
  </si>
  <si>
    <t>ELTS0099H148</t>
  </si>
  <si>
    <t>DC-DC 30A CHARGER TEK YÖN</t>
  </si>
  <si>
    <t>ELTS0099H133</t>
  </si>
  <si>
    <t>DC-DC 40A CHARGER TEK YÖN</t>
  </si>
  <si>
    <t>ELXX0099H002</t>
  </si>
  <si>
    <t>DIS PRIZ SIVA USTU 110V 20A</t>
  </si>
  <si>
    <t>ELSF0099H188</t>
  </si>
  <si>
    <t>DİYOT 1N4007</t>
  </si>
  <si>
    <t>ELTS0099H022</t>
  </si>
  <si>
    <t>EBERSPAECHER DİJİTAL SAAT HYD HS3</t>
  </si>
  <si>
    <t>ELTS0099H150</t>
  </si>
  <si>
    <t>EBERSPAECHER KAPAKLI DISLI DUZ MENFEZ SET</t>
  </si>
  <si>
    <t>ELTS0099H023</t>
  </si>
  <si>
    <t>EBERSPAECHER KIT</t>
  </si>
  <si>
    <t>ELTS0099H024</t>
  </si>
  <si>
    <t>EBERSPAECHER KOMPLE ISITICI D2L 12V</t>
  </si>
  <si>
    <t>ELTS0099H025</t>
  </si>
  <si>
    <t>EGSOZT UCU PAZLANMAZ ÇIKIŞI</t>
  </si>
  <si>
    <t>ELXX0099H003</t>
  </si>
  <si>
    <t>ELEKTRIK GIRISI 125V 30A SIYAH</t>
  </si>
  <si>
    <t>ELTS0099H138</t>
  </si>
  <si>
    <t>EUROPE 13 PIN TRAILER CONNECTOR(FIS)</t>
  </si>
  <si>
    <t>ELTS0099H137</t>
  </si>
  <si>
    <t>EUROPE 13 PIN TRAILER PLUG (SOKET)</t>
  </si>
  <si>
    <t>ELSF0099H137</t>
  </si>
  <si>
    <t>FİŞ DİŞİ 3X16 KAPAKLI</t>
  </si>
  <si>
    <t>ELSF0099H054</t>
  </si>
  <si>
    <t>FİŞ ERKEK 1X16 TOPRAKLI DÜZ</t>
  </si>
  <si>
    <t>ELSF0099H178</t>
  </si>
  <si>
    <t>FİŞ KILIFI RENKLİ 6.3</t>
  </si>
  <si>
    <t>ELTS0099H147</t>
  </si>
  <si>
    <t>FLEX LED</t>
  </si>
  <si>
    <t>ELTS0099H064</t>
  </si>
  <si>
    <t>FLEX LED GUN ISIGI</t>
  </si>
  <si>
    <t>ELTS0099H026</t>
  </si>
  <si>
    <t>GAZ SENSÖRÜ</t>
  </si>
  <si>
    <t>ELSF0099H216</t>
  </si>
  <si>
    <t>Hella Sprinter Sağ Arka Stop</t>
  </si>
  <si>
    <t>ELSF0099H217</t>
  </si>
  <si>
    <t>Hella Sprinter Sol Arka Stop</t>
  </si>
  <si>
    <t>ELTS0099H144</t>
  </si>
  <si>
    <t>INVERTÖR 3000W 110V</t>
  </si>
  <si>
    <t>ELTS0099H123</t>
  </si>
  <si>
    <t>İNVERTÖR 1000W 110V</t>
  </si>
  <si>
    <t>ELTS0099H095</t>
  </si>
  <si>
    <t>İNVERTÖR 1000W TAM SİNÜS</t>
  </si>
  <si>
    <t>ELTS0099H108</t>
  </si>
  <si>
    <t>İNVERTÖR 2000W 110V</t>
  </si>
  <si>
    <t>ELTS0099H105</t>
  </si>
  <si>
    <t>İNVERTÖR 2000W TAM SİNÜS</t>
  </si>
  <si>
    <t>ELTS0099H159</t>
  </si>
  <si>
    <t>ELTS0099H127</t>
  </si>
  <si>
    <t>İNVERTÖR 3000W TAM SİNÜS</t>
  </si>
  <si>
    <t>ELTS0099H151</t>
  </si>
  <si>
    <t>İNVERTÖR 3000W TAM SİNÜS 110V</t>
  </si>
  <si>
    <t>ELSF0099H149</t>
  </si>
  <si>
    <t>KABLO 1X1,5 BEYAZ</t>
  </si>
  <si>
    <t>ELSF0099H093</t>
  </si>
  <si>
    <t>KABLO 3X1,5</t>
  </si>
  <si>
    <t>ELSF0099H136</t>
  </si>
  <si>
    <t>KABLO 3X2,5</t>
  </si>
  <si>
    <t>ELSF0099H022</t>
  </si>
  <si>
    <t>KABLO KANAL 40X16</t>
  </si>
  <si>
    <t>ELSF0099H023</t>
  </si>
  <si>
    <t>KABLO KANALI 16X16</t>
  </si>
  <si>
    <t>ELSF0099H024</t>
  </si>
  <si>
    <t>KABLO KANALI 25X16</t>
  </si>
  <si>
    <t>ELSF0099H214</t>
  </si>
  <si>
    <t>KABLO KANALI SIYAH 12X12</t>
  </si>
  <si>
    <t>ELSF0099H215</t>
  </si>
  <si>
    <t>KABLO KANALI SIYAH 25X16</t>
  </si>
  <si>
    <t>ELSF0099H026</t>
  </si>
  <si>
    <t>KABLO KORUMA KAPAK GÜNEŞ PANELİ SİYAH</t>
  </si>
  <si>
    <t>ELSF0099H193</t>
  </si>
  <si>
    <t>KABLO NYAF 25 MM KIRMIZI</t>
  </si>
  <si>
    <t>ELSF0099H194</t>
  </si>
  <si>
    <t>KABLO NYAF 25 MM SİYAH</t>
  </si>
  <si>
    <t>ELSF0099H173</t>
  </si>
  <si>
    <t>KABLO SPİRAL BORU YARIKLI PG16</t>
  </si>
  <si>
    <t>ELSF0099H174</t>
  </si>
  <si>
    <t>KABLO SPİRAL BORU YARIKLI PG29</t>
  </si>
  <si>
    <t>ELSF0099H172</t>
  </si>
  <si>
    <t>KABLO SPİRAL BORU YARIKLI PG5</t>
  </si>
  <si>
    <t>ELSF0099H113</t>
  </si>
  <si>
    <t>KABLO SPRAL BORU YARIKLI 10 LUK PG9</t>
  </si>
  <si>
    <t>ELSF0099H027</t>
  </si>
  <si>
    <t>KABLO SPRAL BORU YARIKLI PG11</t>
  </si>
  <si>
    <t>ELSF0099H028</t>
  </si>
  <si>
    <t>KABLO SPRAL BORU YARIKLI PG13,5</t>
  </si>
  <si>
    <t>ELSF0099H195</t>
  </si>
  <si>
    <t>KABLO SPRAL BORU YARIKLI PG26</t>
  </si>
  <si>
    <t>ELSF0099H196</t>
  </si>
  <si>
    <t>KABLO SPRAL BORU YARIKLI PG7</t>
  </si>
  <si>
    <t>ELSF0099H105</t>
  </si>
  <si>
    <t>KABLO SPRAL YARIKLI PG7</t>
  </si>
  <si>
    <t>ELSF0099H031</t>
  </si>
  <si>
    <t>KABLO TELLİ 10MM KIRMIZI</t>
  </si>
  <si>
    <t>ELSF0099H032</t>
  </si>
  <si>
    <t>KABLO TELLİ 10MM SİYAH</t>
  </si>
  <si>
    <t>ELSF0099H034</t>
  </si>
  <si>
    <t>KABLO TELLİ 16MM SİYAH</t>
  </si>
  <si>
    <t>ELSF0099H037</t>
  </si>
  <si>
    <t>KABLO TELLİ 1X1 KIRMIZI</t>
  </si>
  <si>
    <t>ELSF0099H039</t>
  </si>
  <si>
    <t>KABLO TELLİ 1X1 MOR</t>
  </si>
  <si>
    <t>ELSF0099H040</t>
  </si>
  <si>
    <t>KABLO TELLİ 1X1 SARI</t>
  </si>
  <si>
    <t>ELSF0099H041</t>
  </si>
  <si>
    <t>KABLO TELLİ 1X1 SİYAH</t>
  </si>
  <si>
    <t>ELSF0099H042</t>
  </si>
  <si>
    <t>KABLO TELLİ 1X1 TURUNUCU</t>
  </si>
  <si>
    <t>ELSF0099H044</t>
  </si>
  <si>
    <t>KABLO TELLİ 6MM KIRMIZI</t>
  </si>
  <si>
    <t>ELSF0099H045</t>
  </si>
  <si>
    <t>KABLO TELLİ 6MM SİYAH</t>
  </si>
  <si>
    <t>ELSF0099H051</t>
  </si>
  <si>
    <t>KABLO YASSI 2X0,75 MM SİYAH</t>
  </si>
  <si>
    <t>ELTS0099H030</t>
  </si>
  <si>
    <t>KAÇAK AKIM ROLESİ 25 AMPER</t>
  </si>
  <si>
    <t>ELTS0099H103</t>
  </si>
  <si>
    <t>KAÇAK AKIM RÖLESİ 1X40 30MA</t>
  </si>
  <si>
    <t>ELTS0099H031</t>
  </si>
  <si>
    <t>KAMERA DCT</t>
  </si>
  <si>
    <t>ELTS0099H035</t>
  </si>
  <si>
    <t>KARAVAN DIŞ 220V ERKEK GİRİŞ SİYAH ABL</t>
  </si>
  <si>
    <t>ELTS0099H163</t>
  </si>
  <si>
    <t>KARAVAN DIŞ 220V ERKEK GİRİŞ SİYAH BEMIS</t>
  </si>
  <si>
    <t>ELTS0099H157</t>
  </si>
  <si>
    <t>KATLANABİLİR SOLAR PANEL 100W</t>
  </si>
  <si>
    <t>ELTS0099H143</t>
  </si>
  <si>
    <t>KLIMA 40 RT-D 12V R134A</t>
  </si>
  <si>
    <t>ELSF0099H199</t>
  </si>
  <si>
    <t>KONNEKTOR TAKIMI 5 PIN FIS</t>
  </si>
  <si>
    <t>ELSF0099H198</t>
  </si>
  <si>
    <t>KONNEKTOR TAKIMI 5 PIN SOKET</t>
  </si>
  <si>
    <t>ELTS0099H036</t>
  </si>
  <si>
    <t>KONNEKTÖR GÜNEŞ PANEL</t>
  </si>
  <si>
    <t>ELXX0099H001</t>
  </si>
  <si>
    <t>LED ARAC USTU 12V 150W 78CM</t>
  </si>
  <si>
    <t>ELTS0099H001</t>
  </si>
  <si>
    <t>LED DOLAP İÇİ AYDINLATMA BEYAZ</t>
  </si>
  <si>
    <t>ELTS0099H002</t>
  </si>
  <si>
    <t>LED KANALI KROM 2.5X1</t>
  </si>
  <si>
    <t>ELTS0099H039</t>
  </si>
  <si>
    <t>LED ŞERİT GÜN IŞIĞI</t>
  </si>
  <si>
    <t>ELTS0099H042</t>
  </si>
  <si>
    <t>LEDLİ ÇEVRE AYDINLATMA SİYAH 10CM</t>
  </si>
  <si>
    <t>NMN493</t>
  </si>
  <si>
    <t>Lexron 140W Half Cut Topcon Güneş Paneli</t>
  </si>
  <si>
    <t>ELSF0099H205</t>
  </si>
  <si>
    <t>MAKARON 10  MM SİYAH</t>
  </si>
  <si>
    <t>ELSF0099H197</t>
  </si>
  <si>
    <t>MAKARON 3.2 MM KIRMIZI</t>
  </si>
  <si>
    <t>ELSF0099H106</t>
  </si>
  <si>
    <t>MAKARON 3.2 MM SİYAH</t>
  </si>
  <si>
    <t>ELSF0099H206</t>
  </si>
  <si>
    <t>MAKARON 6,4 MM KIRMIZI</t>
  </si>
  <si>
    <t>ELSF0099H074</t>
  </si>
  <si>
    <t>MAKARON 6,4 MM SİYAH</t>
  </si>
  <si>
    <t>ELSF0099H075</t>
  </si>
  <si>
    <t>MAKARON 9,5 MM KIRMIZI</t>
  </si>
  <si>
    <t>ELTS0099H084</t>
  </si>
  <si>
    <t>MİNİ ROLE 12V DİYOTLU 40A</t>
  </si>
  <si>
    <t>ELSF0099H204</t>
  </si>
  <si>
    <t>MONITOR KAMERA AHD KABLOSUZ KAMERA SETI</t>
  </si>
  <si>
    <t>ELTS0099H033</t>
  </si>
  <si>
    <t>MONİTÖR DİKİZ AYNASI</t>
  </si>
  <si>
    <t>ELTS0099H045</t>
  </si>
  <si>
    <t>MPPT ŞARJ 20A</t>
  </si>
  <si>
    <t>ELTS0099H046</t>
  </si>
  <si>
    <t>MPPT ŞARJ 30A</t>
  </si>
  <si>
    <t>ELTS0099H154</t>
  </si>
  <si>
    <t>MPPT ŞARJ 40A</t>
  </si>
  <si>
    <t>ELTS0099H048</t>
  </si>
  <si>
    <t>OKUMA LAMBASI SİYAH</t>
  </si>
  <si>
    <t>ELTS0099H104</t>
  </si>
  <si>
    <t>OTOMAT B1X32A</t>
  </si>
  <si>
    <t>ELTS0099H167</t>
  </si>
  <si>
    <t>PABUÇ SKP 16-10</t>
  </si>
  <si>
    <t>ELTS0099H085</t>
  </si>
  <si>
    <t>PABUÇ SKP 16-6</t>
  </si>
  <si>
    <t>ELTS0099H161</t>
  </si>
  <si>
    <t>ELTS0099H145</t>
  </si>
  <si>
    <t>PABUÇ SKP 25-6</t>
  </si>
  <si>
    <t>ELTS0099H146</t>
  </si>
  <si>
    <t>PABUÇ SKP 25-8</t>
  </si>
  <si>
    <t>ELTS0099H087</t>
  </si>
  <si>
    <t>PABUÇ SKP 6-6</t>
  </si>
  <si>
    <t>ELTS0099H160</t>
  </si>
  <si>
    <t>ELTS0099H152</t>
  </si>
  <si>
    <t>PIL KALEM AAA</t>
  </si>
  <si>
    <t>ELSF0099H083</t>
  </si>
  <si>
    <t>SİGORTA 16 AH 220 W</t>
  </si>
  <si>
    <t>ELSF0099H189</t>
  </si>
  <si>
    <t>SİGORTA KUTUSU 6 LI SİYAH KAPAKLI</t>
  </si>
  <si>
    <t>ELSF0099H182</t>
  </si>
  <si>
    <t>SİGORTA KUTUSU MEGAVAL</t>
  </si>
  <si>
    <t>ELSF0099H146</t>
  </si>
  <si>
    <t>SİGORTA MEGAVAL 100A 3 AYAKLI</t>
  </si>
  <si>
    <t>ELSF0099H184</t>
  </si>
  <si>
    <t>SİGORTA MEGAVAL 125A 3 AYAKLI</t>
  </si>
  <si>
    <t>ELSF0099H085</t>
  </si>
  <si>
    <t>SOLAR MONTAJ KÖŞE BRAKET</t>
  </si>
  <si>
    <t>ELSF0099H131</t>
  </si>
  <si>
    <t>SOLAR MONTAJ ORTA BRAKET</t>
  </si>
  <si>
    <t>ELTS0099H070</t>
  </si>
  <si>
    <t>SOLAR PANEL 205W</t>
  </si>
  <si>
    <t>ELTS0099H100</t>
  </si>
  <si>
    <t>SOLAR PANEL DEVRE KESİCİ BUTON</t>
  </si>
  <si>
    <t>ELTS0099H057</t>
  </si>
  <si>
    <t>SOLAR PANEL ESNEK 110W</t>
  </si>
  <si>
    <t>ELTS0099H058</t>
  </si>
  <si>
    <t>SOLAR PANEL ESNEK 170w</t>
  </si>
  <si>
    <t>ELTS0099H124</t>
  </si>
  <si>
    <t>SOLAR PANEL ESNEK 175w</t>
  </si>
  <si>
    <t>ELTS0099H140</t>
  </si>
  <si>
    <t>SOLAR PANEL ESNEK HALF CUT FULL BLACK 150w</t>
  </si>
  <si>
    <t>ELSF0099H180</t>
  </si>
  <si>
    <t>STANDART DİŞİ FİŞ</t>
  </si>
  <si>
    <t>ELSF0099H202</t>
  </si>
  <si>
    <t>TEK  GİRİŞLİ YÜKSÜK 10 MM KAHVERENGİ</t>
  </si>
  <si>
    <t>ELSF0099H209</t>
  </si>
  <si>
    <t>TEK GİRİŞLİ YÜKSÜK 1 MM KIRMIZI</t>
  </si>
  <si>
    <t>ELSF0099H212</t>
  </si>
  <si>
    <t>TEK GİRİŞLİ YÜKSÜK 2,5 MM GRİ</t>
  </si>
  <si>
    <t>ELSF0099H207</t>
  </si>
  <si>
    <t>TEK GİRİŞLİ YÜKSÜK 4 MM TURUNCU</t>
  </si>
  <si>
    <t>ELSF0099H203</t>
  </si>
  <si>
    <t>TEK GİRİŞLİ YÜKSÜK 6 MM YEŞİL</t>
  </si>
  <si>
    <t>ELSF0099H081</t>
  </si>
  <si>
    <t>TOPRAKLI PRİZ Ç.K. KAPAKLI SIYAH</t>
  </si>
  <si>
    <t>ELSF0099H119</t>
  </si>
  <si>
    <t>TOPRAKLI PRİZ MEKANIZMA Ç.B.</t>
  </si>
  <si>
    <t>ELTS0099H129</t>
  </si>
  <si>
    <t>TRANSFER SWİTCH 63A</t>
  </si>
  <si>
    <t>ABSR0099H002</t>
  </si>
  <si>
    <t>USA 125V PASLANMAZ ÇELİK GÜÇ GİRİŞİ 30A</t>
  </si>
  <si>
    <t>ELTS0099H060</t>
  </si>
  <si>
    <t>USB 12V 2Lİ SİYAH</t>
  </si>
  <si>
    <t>ELTS0099H132</t>
  </si>
  <si>
    <t>VERONA ESNEK OKUMA LAMBASI-SIYAH</t>
  </si>
  <si>
    <t>HRXX0099H637</t>
  </si>
  <si>
    <t>VİMAR AMERİKAN TİP 3 LÜ ANAHTAR VE PRİZ SETİ</t>
  </si>
  <si>
    <t>HRXX0099H525</t>
  </si>
  <si>
    <t>VİMAR AMERİKAN TİP PRİZ</t>
  </si>
  <si>
    <t>ELSF0099H088</t>
  </si>
  <si>
    <t>WAGO 2LÜ</t>
  </si>
  <si>
    <t>ELSF0099H090</t>
  </si>
  <si>
    <t>WAGO 5 LÜ</t>
  </si>
  <si>
    <t>HIRDAVAT</t>
  </si>
  <si>
    <t>KRXX0099H407</t>
  </si>
  <si>
    <t>04519DU26 POMPA JAKI ERKEK</t>
  </si>
  <si>
    <t>KRXX0099H408</t>
  </si>
  <si>
    <t>04519HGF19 POMPA JAKI DİŞİ</t>
  </si>
  <si>
    <t>KRXX0099H409</t>
  </si>
  <si>
    <t>076UTK26S TOZ KAPAĞI</t>
  </si>
  <si>
    <t>HRXX0099H212</t>
  </si>
  <si>
    <t>1/2 DIŞ DİŞLİ SARI HORTUM UCU</t>
  </si>
  <si>
    <t>HRXX0099H632</t>
  </si>
  <si>
    <t>114/10 İZOLE BORU</t>
  </si>
  <si>
    <t>ATLS0099H026</t>
  </si>
  <si>
    <t>2,5 CM SİYAH KOLON</t>
  </si>
  <si>
    <t>ATLS0099H007</t>
  </si>
  <si>
    <t>25X125 A4 İNOX SÜRGÜ</t>
  </si>
  <si>
    <t>HRXX0099H223</t>
  </si>
  <si>
    <t>3X20 VİDA</t>
  </si>
  <si>
    <t>ATLS0099H031</t>
  </si>
  <si>
    <t>4 CM SİYAH KOLON</t>
  </si>
  <si>
    <t>ATLS0099H014</t>
  </si>
  <si>
    <t>50x5 MM LASTİK ŞERİT</t>
  </si>
  <si>
    <t>HRXX0099H672</t>
  </si>
  <si>
    <t>6X12 TAMPON CİVATASI GALVANİZ</t>
  </si>
  <si>
    <t>HRXX0099H671</t>
  </si>
  <si>
    <t>6X25 TAMPON CİVATASI GALVANİZ</t>
  </si>
  <si>
    <t>HRXX0099H679</t>
  </si>
  <si>
    <t>8X20 TAMPON CİVATASI GALVANİZ</t>
  </si>
  <si>
    <t>MBSF0099H005</t>
  </si>
  <si>
    <t>AKORDİYON MENTEŞE 70MM</t>
  </si>
  <si>
    <t>HRXX0099H068</t>
  </si>
  <si>
    <t>ALİMÜNYUM KÖŞE PROFİL 10X10</t>
  </si>
  <si>
    <t>HRXX0099H445</t>
  </si>
  <si>
    <t>ALÜMİNYUM KÖŞE PROFİL 2 AYAK</t>
  </si>
  <si>
    <t>HRXX0099H073</t>
  </si>
  <si>
    <t>ALÜMİNYUM KÖŞE PROFİL SİYAH 2X2</t>
  </si>
  <si>
    <t>HRXX0099H074</t>
  </si>
  <si>
    <t>ALÜMİNYUM KÖŞE PROFİL SİYAH 2X4</t>
  </si>
  <si>
    <t>KRXX0099H315</t>
  </si>
  <si>
    <t>ATIK SU TAHLİYESİ JAKLI</t>
  </si>
  <si>
    <t>HRXX0099H474</t>
  </si>
  <si>
    <t>AYNA GLADİATOR XL 625X610</t>
  </si>
  <si>
    <t>HRXX0099H446</t>
  </si>
  <si>
    <t>BAGAJ FİTİLİ</t>
  </si>
  <si>
    <t>HRXX0099H595</t>
  </si>
  <si>
    <t>BALDACCİ BAS ÇEK KİLİT KROM - PARLAK</t>
  </si>
  <si>
    <t>HRXX0099H575</t>
  </si>
  <si>
    <t>BALDACCİ BAS ÇEK KİLİT SİYAH - MAT</t>
  </si>
  <si>
    <t>HRXX0099H001</t>
  </si>
  <si>
    <t>BANT BEZ TÜYLÜ</t>
  </si>
  <si>
    <t>HRXX0099H003</t>
  </si>
  <si>
    <t>BANT ÇİFT TARAFLI 25x38 mm</t>
  </si>
  <si>
    <t>HRXX0099H429</t>
  </si>
  <si>
    <t>BANT MASKELEME DAYSON 24 MM</t>
  </si>
  <si>
    <t>HRXX0099H428</t>
  </si>
  <si>
    <t>BANT MASKELEME DAYSON 48 MM</t>
  </si>
  <si>
    <t>HRXX0099H009</t>
  </si>
  <si>
    <t>BANT MASKELEME MAVİ 25 MM</t>
  </si>
  <si>
    <t>HRXX0099H010</t>
  </si>
  <si>
    <t>BANT MASKELEME MAVİ 50 MM</t>
  </si>
  <si>
    <t>HRXX0099H011</t>
  </si>
  <si>
    <t>BANT TEFLON</t>
  </si>
  <si>
    <t>HRXX0099H013</t>
  </si>
  <si>
    <t>BEZ HURDA</t>
  </si>
  <si>
    <t>HRXX0099H122</t>
  </si>
  <si>
    <t>BITS UC UZATMA ADAPTORU</t>
  </si>
  <si>
    <t>HRXX0099H015</t>
  </si>
  <si>
    <t>BOYA TULUMU BEYAZ (TK)</t>
  </si>
  <si>
    <t>HRXX0099H662</t>
  </si>
  <si>
    <t>BOYA TULUMU BEYAZ (TK)-İKİNCİ KALİTE</t>
  </si>
  <si>
    <t>HRXX0099H490</t>
  </si>
  <si>
    <t>CAM ALTLIK SES STOPERİ</t>
  </si>
  <si>
    <t>HRXX0099H622</t>
  </si>
  <si>
    <t>CIVATA PASLANMAZ M4X16 MERCIMEK BASLI</t>
  </si>
  <si>
    <t>HRXX0099H630</t>
  </si>
  <si>
    <t>CIVATA PASLANMAZ M8X130</t>
  </si>
  <si>
    <t>HRXX0099H483</t>
  </si>
  <si>
    <t>CİVATA M10X90 8,8 GALVANİZ</t>
  </si>
  <si>
    <t>HRXX0099H217</t>
  </si>
  <si>
    <t>CİVATA PASLANMAZ  M10X60</t>
  </si>
  <si>
    <t>HRXX0099H657</t>
  </si>
  <si>
    <t>CİVATA PASLANMAZ FLANŞLI M10X30</t>
  </si>
  <si>
    <t>HRXX0099H564</t>
  </si>
  <si>
    <t>CİVATA PASLANMAZ M10X50 ALTIGEN BAŞ</t>
  </si>
  <si>
    <t>HRXX0099H081</t>
  </si>
  <si>
    <t>ÇITCIT PİRİNÇ METAL 7MM</t>
  </si>
  <si>
    <t>HRXX0099H521</t>
  </si>
  <si>
    <t>ÇITÇIT METAL PASLANMAZ</t>
  </si>
  <si>
    <t>HRXX0099H082</t>
  </si>
  <si>
    <t>ÇİVİ TABANCA 15 MM</t>
  </si>
  <si>
    <t>HRXX0099H211</t>
  </si>
  <si>
    <t>ÇİVİ TABANCA 20 MM</t>
  </si>
  <si>
    <t>HRXX0099H083</t>
  </si>
  <si>
    <t>ÇUVAL</t>
  </si>
  <si>
    <t>HRXX0099H084</t>
  </si>
  <si>
    <t>DEGOBAJ UCU T118A</t>
  </si>
  <si>
    <t>HRXX0099H085</t>
  </si>
  <si>
    <t>DEGOBAJ UCU T318A</t>
  </si>
  <si>
    <t>HRXX0099H646</t>
  </si>
  <si>
    <t>DİŞ KORUMA TAPASI M6X10</t>
  </si>
  <si>
    <t>HRXX0099H647</t>
  </si>
  <si>
    <t>DİŞ KORUMA TAPASI M8X15</t>
  </si>
  <si>
    <t>HRXX0099H589</t>
  </si>
  <si>
    <t>DUVAR ASKILIK MAT KROM</t>
  </si>
  <si>
    <t>HRXX0099H338</t>
  </si>
  <si>
    <t>DÜZ DEMİR BAĞLANTI</t>
  </si>
  <si>
    <t>HRXX0099H019</t>
  </si>
  <si>
    <t>ELDİVEN MUAYENE PUDRALI</t>
  </si>
  <si>
    <t>HRXX0099H020</t>
  </si>
  <si>
    <t>ELDİVEN NİTRİL</t>
  </si>
  <si>
    <t>HRXX0099H406</t>
  </si>
  <si>
    <t>FERMUAR KREM</t>
  </si>
  <si>
    <t>HRXX0099H153</t>
  </si>
  <si>
    <t>FERMUAR SİYAH</t>
  </si>
  <si>
    <t>HRXX0099H491</t>
  </si>
  <si>
    <t>FIBER DISK ZIMPARA 40LIK</t>
  </si>
  <si>
    <t>HRXX0099H021</t>
  </si>
  <si>
    <t>FIRÇA AHŞAP SAPLI 3 NUMARA</t>
  </si>
  <si>
    <t>HRXX0099H067</t>
  </si>
  <si>
    <t>FIRÇA PRİMER</t>
  </si>
  <si>
    <t>HRXX0099H025</t>
  </si>
  <si>
    <t>FIRÇA RÖTÜŞ 3 NUMARA</t>
  </si>
  <si>
    <t>HRXX0099H593</t>
  </si>
  <si>
    <t>FİBER DİSK ZIMPARA 100LÜK</t>
  </si>
  <si>
    <t>HRXX0099H591</t>
  </si>
  <si>
    <t>FİBER DİSK ZIMPARA 60LIK</t>
  </si>
  <si>
    <t>HRXX0099H592</t>
  </si>
  <si>
    <t>FİBER DİSK ZIMPARA 80LİK</t>
  </si>
  <si>
    <t>HRXX0099H638</t>
  </si>
  <si>
    <t>FİBER ZIMPARA TABANI 115 MM</t>
  </si>
  <si>
    <t>HRXX0099H268</t>
  </si>
  <si>
    <t>FİBERLİ SOMUN M4</t>
  </si>
  <si>
    <t>HRXX0099H665</t>
  </si>
  <si>
    <t>GLADİATÖR DAYAMA EPDM KAPAK CONTA 50x15</t>
  </si>
  <si>
    <t>HRXX0099H215</t>
  </si>
  <si>
    <t>GÖMME KULP</t>
  </si>
  <si>
    <t>HRXX0099H424</t>
  </si>
  <si>
    <t>GÖZLÜK ŞEFFAF</t>
  </si>
  <si>
    <t>HRXX0099H555</t>
  </si>
  <si>
    <t>HAFELE FRENLİ CH300 DOLAP MENTEŞESİ</t>
  </si>
  <si>
    <t>ATLS0099H008</t>
  </si>
  <si>
    <t>HALKA KÖPRÜ NO 1-20553</t>
  </si>
  <si>
    <t>HRXX0099H629</t>
  </si>
  <si>
    <t>HARTAL KAPI FİTİLİ SİYAH</t>
  </si>
  <si>
    <t>KRXX0099H411</t>
  </si>
  <si>
    <t>HLOK19S­20 MACERATÖR POMPA HORTUM</t>
  </si>
  <si>
    <t>HRXX0099H590</t>
  </si>
  <si>
    <t>HORTUM KALORİFER 16MM LONG TİPİ</t>
  </si>
  <si>
    <t>HRXX0099H655</t>
  </si>
  <si>
    <t>HORTUM SLİKON ŞEFFAF ÇAP 7</t>
  </si>
  <si>
    <t>HRXX0099H547</t>
  </si>
  <si>
    <t>HORTUM ŞEFFAF 4X8 MM</t>
  </si>
  <si>
    <t>HRXX0099H163</t>
  </si>
  <si>
    <t>İZOLASYON KAUÇUK 18 MM</t>
  </si>
  <si>
    <t>HRXX0099H162</t>
  </si>
  <si>
    <t>İZOLASYON KAUÇUK 9 MM</t>
  </si>
  <si>
    <t>HRXX0099H385</t>
  </si>
  <si>
    <t>KABLO BAĞI CİRT 3.60X200</t>
  </si>
  <si>
    <t>HRXX0099H386</t>
  </si>
  <si>
    <t>KABLO BAĞI CİRT 3.60X300</t>
  </si>
  <si>
    <t>HRXX0099H158</t>
  </si>
  <si>
    <t>KABLO KANAL 12X12</t>
  </si>
  <si>
    <t>HRXX0099H523</t>
  </si>
  <si>
    <t>KAPI ALTI SÜNGER</t>
  </si>
  <si>
    <t>KMIZ0099H066</t>
  </si>
  <si>
    <t>KARTUŞ DEK-6250112 DEKASEAL 8936  ANTRASİT</t>
  </si>
  <si>
    <t>HRXX0099H165</t>
  </si>
  <si>
    <t>KELEPÇE  PASLANMAZ 12X22</t>
  </si>
  <si>
    <t>HRXX0099H166</t>
  </si>
  <si>
    <t>KELEPÇE  PASLANMAZ 22X36</t>
  </si>
  <si>
    <t>HRXX0099H320</t>
  </si>
  <si>
    <t>KELEPÇE PASLANMAZ 10X16</t>
  </si>
  <si>
    <t>HRXX0099H316</t>
  </si>
  <si>
    <t>KELEPÇE PASLANMAZ 12X22</t>
  </si>
  <si>
    <t>HRXX0099H170</t>
  </si>
  <si>
    <t>KESME TAŞI 115 CAP 1.0 KALINLIK</t>
  </si>
  <si>
    <t>HRXX0099H095</t>
  </si>
  <si>
    <t>KİLİT ŞİFRELİ ASMA</t>
  </si>
  <si>
    <t>HRXX0099H626</t>
  </si>
  <si>
    <t>KONVEYOR AVARE RULO</t>
  </si>
  <si>
    <t>HRXX0099H670</t>
  </si>
  <si>
    <t>KÖR SOMUN M6 PASLANMAZ</t>
  </si>
  <si>
    <t>HRXX0099H676</t>
  </si>
  <si>
    <t>KROM  MATKAP UCU 4MM</t>
  </si>
  <si>
    <t>HRXX0099H675</t>
  </si>
  <si>
    <t>KROM MATKAP UCU 5MM</t>
  </si>
  <si>
    <t>HRXX0099H669</t>
  </si>
  <si>
    <t>KULP PLASTİK SİYAH</t>
  </si>
  <si>
    <t>HRXX0099H224</t>
  </si>
  <si>
    <t>L DEMİR ÇEKTİRME</t>
  </si>
  <si>
    <t>ATLS0099H016</t>
  </si>
  <si>
    <t>LASTİK PENCERE FİTİLİ</t>
  </si>
  <si>
    <t>HRXX0099H526</t>
  </si>
  <si>
    <t>LEHİM PASTASI</t>
  </si>
  <si>
    <t>HRXX0099H345</t>
  </si>
  <si>
    <t>LEHİM TELİ 1,2 MM</t>
  </si>
  <si>
    <t>HRXX0099H213</t>
  </si>
  <si>
    <t>LOCTİTE 243 CONTA YAPIŞTIRICI 50 ML</t>
  </si>
  <si>
    <t>HRXX0099H232</t>
  </si>
  <si>
    <t>MAKET BIÇAĞI 16 CM</t>
  </si>
  <si>
    <t>HRXX0099H673</t>
  </si>
  <si>
    <t>MANDALLI ANAHTARLI DOLAP KİLİDİ</t>
  </si>
  <si>
    <t>HRXX0099H028</t>
  </si>
  <si>
    <t>MASKE TOZ</t>
  </si>
  <si>
    <t>HRXX0099H029</t>
  </si>
  <si>
    <t>MAŞRAPA ÖLÇEKLİ</t>
  </si>
  <si>
    <t>ATLS0099H003</t>
  </si>
  <si>
    <t>MAT ELOKSAL 6 METRE ALÜMİNYUM</t>
  </si>
  <si>
    <t>HRXX0099H236</t>
  </si>
  <si>
    <t>MATKAP UCU BİTS PH2 25MM</t>
  </si>
  <si>
    <t>HRXX0099H097</t>
  </si>
  <si>
    <t>MENFEZ ALİMİNYUM 30X7</t>
  </si>
  <si>
    <t>HRXX0099H628</t>
  </si>
  <si>
    <t>MENTESELI VIDA KAPAK GIZLEYICI BEYAZ</t>
  </si>
  <si>
    <t>HRXX0099H448</t>
  </si>
  <si>
    <t>MENTEŞE 5X5 SİYAH</t>
  </si>
  <si>
    <t>HRXX0099H354</t>
  </si>
  <si>
    <t>MENTEŞE 70x45 SİYAH</t>
  </si>
  <si>
    <t>HRXX0099H099</t>
  </si>
  <si>
    <t>MENTEŞE LALE MAKAS</t>
  </si>
  <si>
    <t>HRXX0099H102</t>
  </si>
  <si>
    <t>MENTEŞE TAS FRENSİZ SÜPER DEVE</t>
  </si>
  <si>
    <t>HRXX0099H103</t>
  </si>
  <si>
    <t>MENTEŞE TAS FRENSİZ YARIM DEVE</t>
  </si>
  <si>
    <t>HRXX0099H104</t>
  </si>
  <si>
    <t>MENTEŞE YAPRAK OVAL 6.5CM KROM</t>
  </si>
  <si>
    <t>HRXX0099H105</t>
  </si>
  <si>
    <t>MENTEŞE YAPRAK OVAL 9.5CM KROM</t>
  </si>
  <si>
    <t>HRXX0099H195</t>
  </si>
  <si>
    <t>METAL MATKAP UCU 10 MM</t>
  </si>
  <si>
    <t>HRXX0099H398</t>
  </si>
  <si>
    <t>METAL MATKAP UCU 11 MM</t>
  </si>
  <si>
    <t>HRXX0099H228</t>
  </si>
  <si>
    <t>METAL MATKAP UCU 3,5MM</t>
  </si>
  <si>
    <t>HRXX0099H227</t>
  </si>
  <si>
    <t>METAL MATKAP UCU 3MM</t>
  </si>
  <si>
    <t>HRXX0099H194</t>
  </si>
  <si>
    <t>METAL MATKAP UCU 6MM</t>
  </si>
  <si>
    <t>HRXX0099H649</t>
  </si>
  <si>
    <t>METAL MATKAP UCU 7MM</t>
  </si>
  <si>
    <t>HRXX0099H660</t>
  </si>
  <si>
    <t>METAL MATKAP UCU 9MM</t>
  </si>
  <si>
    <t>HRXX0099H614</t>
  </si>
  <si>
    <t>MOBİLYA TEZGAH AYAĞI AYARLANABİLİR 13x19CM</t>
  </si>
  <si>
    <t>HRXX0099H667</t>
  </si>
  <si>
    <t>NEODYUM MIKNATIS HAVSALI</t>
  </si>
  <si>
    <t>HRXX0099H586</t>
  </si>
  <si>
    <t>ORBİTAL ZIMPARA 3000</t>
  </si>
  <si>
    <t>HRXX0099H237</t>
  </si>
  <si>
    <t>ÖRTÜ HIŞIR</t>
  </si>
  <si>
    <t>ATLS0099H015</t>
  </si>
  <si>
    <t>PASLANMAZ MİL ÇAP 5</t>
  </si>
  <si>
    <t>HRXX0099H222</t>
  </si>
  <si>
    <t>PASLANMAZ PUL M8</t>
  </si>
  <si>
    <t>HRXX0099H537</t>
  </si>
  <si>
    <t>PASLANMAZ SAC VİDASI 4,8X38</t>
  </si>
  <si>
    <t>HRXX0099H639</t>
  </si>
  <si>
    <t>PAT PAT NAYLON 1.KALİTE</t>
  </si>
  <si>
    <t>HRXX0099H640</t>
  </si>
  <si>
    <t>PAT PAT NAYLON 2.KALİTE</t>
  </si>
  <si>
    <t>HRXX0099H604</t>
  </si>
  <si>
    <t>PENCERE FİTİLİ BEYAZ</t>
  </si>
  <si>
    <t>HRXX0099H312</t>
  </si>
  <si>
    <t>PERÇİN 4X15</t>
  </si>
  <si>
    <t>HRXX0099H209</t>
  </si>
  <si>
    <t>PERÇİN 4X20</t>
  </si>
  <si>
    <t>HRXX0099H606</t>
  </si>
  <si>
    <t>PERDE RAYI 3M</t>
  </si>
  <si>
    <t>ATLS0099H006</t>
  </si>
  <si>
    <t>PETRİX MAKARALI IŞIK ZİNCİRİ</t>
  </si>
  <si>
    <t>HRXX0099H602</t>
  </si>
  <si>
    <t>PİL ALKALİN 23A 12V GP</t>
  </si>
  <si>
    <t>ATLS0099H017</t>
  </si>
  <si>
    <t>PLASTİK SİYAH KUYRUKLU MENTEŞE</t>
  </si>
  <si>
    <t>KRXX0099H410</t>
  </si>
  <si>
    <t>POMPA JAKI CONTA</t>
  </si>
  <si>
    <t>HRXX0099H678</t>
  </si>
  <si>
    <t>POP PERÇİN 4,8X16MM SİYAH</t>
  </si>
  <si>
    <t>HRXX0099H668</t>
  </si>
  <si>
    <t>POP PERÇİN 4,8X20MM SİYAH</t>
  </si>
  <si>
    <t>HRXX0099H659</t>
  </si>
  <si>
    <t>POP PERÇİN 4,8X25</t>
  </si>
  <si>
    <t>HRXX0099H661</t>
  </si>
  <si>
    <t>POP PERÇİN 4x10</t>
  </si>
  <si>
    <t>HRXX0099H677</t>
  </si>
  <si>
    <t>POP PERÇİN 4x20 SIYAH</t>
  </si>
  <si>
    <t>HRXX0099H410</t>
  </si>
  <si>
    <t>POST RULO- 10luk POLYESTER YEDEK</t>
  </si>
  <si>
    <t>HRXX0099H627</t>
  </si>
  <si>
    <t>PROFIL 40x40x2mm  304 KROM</t>
  </si>
  <si>
    <t>HRXX0099H551</t>
  </si>
  <si>
    <t>PUL 4,3X12X1 PASLANMAZ</t>
  </si>
  <si>
    <t>HRXX0099H609</t>
  </si>
  <si>
    <t>PUL GALVANİZ M10</t>
  </si>
  <si>
    <t>HRXX0099H421</t>
  </si>
  <si>
    <t>PUSH BUTON BL06-160-CH KROM PARLAK</t>
  </si>
  <si>
    <t>HRXX0099H556</t>
  </si>
  <si>
    <t>RAY 35 LİK TELESKOBİK FRENLİ</t>
  </si>
  <si>
    <t>HRXX0099H625</t>
  </si>
  <si>
    <t>RAY 45 LIK TELESKOPIK FRENSIZ</t>
  </si>
  <si>
    <t>HRXX0099H645</t>
  </si>
  <si>
    <t>RAY 50 LIK TELESKOPIK FRENSIZ</t>
  </si>
  <si>
    <t>HRXX0099H624</t>
  </si>
  <si>
    <t>RAY TELESKOBİK BİLYALI 53MMX45CM KİLİTLİ</t>
  </si>
  <si>
    <t>HRXX0099H603</t>
  </si>
  <si>
    <t>RAY TELESKOBİK BİLYALI 53MMX50CM KİLİTLİ</t>
  </si>
  <si>
    <t>HRXX0099H560</t>
  </si>
  <si>
    <t>RAY TELESKOPİK 30 LUK FRENLİ</t>
  </si>
  <si>
    <t>HRXX0099H538</t>
  </si>
  <si>
    <t>RAY TELESKOPİK 45 LİK FRENLİ</t>
  </si>
  <si>
    <t>HRXX0099H033</t>
  </si>
  <si>
    <t>RULO PARMAK 10MM YEDEK İÇ</t>
  </si>
  <si>
    <t>HRXX0099H558</t>
  </si>
  <si>
    <t>SAC VİDASI 4,2X16 YSB</t>
  </si>
  <si>
    <t>HRXX0099H203</t>
  </si>
  <si>
    <t>SARI HORTUM REKORU 10MM 3/8 DIŞ DİŞLİ</t>
  </si>
  <si>
    <t>HRXX0099H241</t>
  </si>
  <si>
    <t>SIVA SÜNGERİ</t>
  </si>
  <si>
    <t>HRXX0099H173</t>
  </si>
  <si>
    <t>SİFON LAVABO KÖRÜKLÜ PLASTİK</t>
  </si>
  <si>
    <t>KMIZ0099H012</t>
  </si>
  <si>
    <t>SİKA MASTİK SOSİS BEYAZ SOTAŞ</t>
  </si>
  <si>
    <t>KMIZ0099H054</t>
  </si>
  <si>
    <t>SİKA MASTİK SOSİS NP1</t>
  </si>
  <si>
    <t>KMIZ0099H013</t>
  </si>
  <si>
    <t>SİKA MASTİK SOSİS SİYAH SOTAŞ</t>
  </si>
  <si>
    <t>HRXX0099H654</t>
  </si>
  <si>
    <t>SİYAH DIŞ MENFEZ</t>
  </si>
  <si>
    <t>ATLS0099H009</t>
  </si>
  <si>
    <t>SİYAH PLASTİK TUTAMAK</t>
  </si>
  <si>
    <t>HRXX0099H489</t>
  </si>
  <si>
    <t>SOLAR SHOWER DELUXE YIKAMA KİTİ 7,5M (M 1767226)</t>
  </si>
  <si>
    <t>HRXX0099H484</t>
  </si>
  <si>
    <t>SOMUN FİBERLİ M10 GALVANİZ</t>
  </si>
  <si>
    <t>HRXX0099H175</t>
  </si>
  <si>
    <t>SOMUN PASLANMAZ FİBERLİ M8</t>
  </si>
  <si>
    <t>HRXX0099H658</t>
  </si>
  <si>
    <t>SOMUN PASLANMAZ FLANŞLI M10</t>
  </si>
  <si>
    <t>HRXX0099H176</t>
  </si>
  <si>
    <t>SOMUN PASLANMAZ KELEBEK M8</t>
  </si>
  <si>
    <t>HRXX0099H177</t>
  </si>
  <si>
    <t>SOMUN PASLANMAZ KÖR M8</t>
  </si>
  <si>
    <t>HRXX0099H178</t>
  </si>
  <si>
    <t>SOMUN PASLANMAZ M10</t>
  </si>
  <si>
    <t>HRXX0099H181</t>
  </si>
  <si>
    <t>SPANZET 35MM</t>
  </si>
  <si>
    <t>HRXX0099H182</t>
  </si>
  <si>
    <t>SPANZET KAYIŞI</t>
  </si>
  <si>
    <t>ATLS0099H027</t>
  </si>
  <si>
    <t>SPANZET KÜÇÜK</t>
  </si>
  <si>
    <t>HRXX0099H183</t>
  </si>
  <si>
    <t>SPANZET MINI</t>
  </si>
  <si>
    <t>HRXX0099H359</t>
  </si>
  <si>
    <t>STOR ÖN YÜZ PROFİLİ</t>
  </si>
  <si>
    <t>HRXX0099H296</t>
  </si>
  <si>
    <t>STOR U PROFİLİ KAP. KROM</t>
  </si>
  <si>
    <t>HRXX0099H112</t>
  </si>
  <si>
    <t>STORE KAPI KROM 1735x 750mm</t>
  </si>
  <si>
    <t>HRXX0099H664</t>
  </si>
  <si>
    <t>STORE KAPI KROM 1835x1850mm</t>
  </si>
  <si>
    <t>HRXX0099H113</t>
  </si>
  <si>
    <t>STORE KAPI SALYANGOZ YUVASI</t>
  </si>
  <si>
    <t>HRXX0099H617</t>
  </si>
  <si>
    <t>STREÇ SIYAH 17 MİKRON</t>
  </si>
  <si>
    <t>HRXX0099H565</t>
  </si>
  <si>
    <t>STREÇ ŞEFFAF 17 MİKRON</t>
  </si>
  <si>
    <t>NMN445</t>
  </si>
  <si>
    <t>SUNTA VIDA HAVSA BASLI 3,5 x 15 MM</t>
  </si>
  <si>
    <t>HRXX0099H631</t>
  </si>
  <si>
    <t>HRXX0099H535</t>
  </si>
  <si>
    <t>SÜNGER POLİSAJ APLİKATÖRLÜ</t>
  </si>
  <si>
    <t>ATLS0099H004</t>
  </si>
  <si>
    <t>ŞARJLI OTOMATİK DAMACANA SU POMPASI</t>
  </si>
  <si>
    <t>HRXX0099H219</t>
  </si>
  <si>
    <t>ŞASE PULU PASLANMAZ M10</t>
  </si>
  <si>
    <t>HRXX0099H303</t>
  </si>
  <si>
    <t>ŞASE PULU PASLANMAZ M8</t>
  </si>
  <si>
    <t>HRXX0099H641</t>
  </si>
  <si>
    <t>TAPA KOYU ZEBRANO 14 MM</t>
  </si>
  <si>
    <t>HRXX0099H328</t>
  </si>
  <si>
    <t>TAPA MEŞE NEBRASKA PC2122 14 MM</t>
  </si>
  <si>
    <t>ATLS0099H005</t>
  </si>
  <si>
    <t>TEKSAN GOON 600W PORTABLE POWER STATION</t>
  </si>
  <si>
    <t>HRXX0099H120</t>
  </si>
  <si>
    <t>TUTAMAK ARKA</t>
  </si>
  <si>
    <t>HRXX0099H218</t>
  </si>
  <si>
    <t>UFAK PUL PASLANMAZ M10</t>
  </si>
  <si>
    <t>HRXX0099H121</t>
  </si>
  <si>
    <t>VAKUMLU DUŞ BAŞLIĞI TUTUCUSU</t>
  </si>
  <si>
    <t>HRXX0099H623</t>
  </si>
  <si>
    <t>VıDA PASLANMAz HAVSA BAS M3X20</t>
  </si>
  <si>
    <t>HRXX0099H202</t>
  </si>
  <si>
    <t>VİDA KAPAK 15MM SİYAH</t>
  </si>
  <si>
    <t>HRXX0099H681</t>
  </si>
  <si>
    <t>VİDA KAPAK SHUIVAN -AÇIK GRİ</t>
  </si>
  <si>
    <t>HRXX0099H127</t>
  </si>
  <si>
    <t>VİDA KÖŞE BAĞLANTI PLASTİK ŞEFFAF</t>
  </si>
  <si>
    <t>HRXX0099H566</t>
  </si>
  <si>
    <t>VİDA PASLANMAZ 4,8X25 YHB</t>
  </si>
  <si>
    <t>HRXX0099H184</t>
  </si>
  <si>
    <t>VİDA PASLANMAZ HAVŞA 3,9X16</t>
  </si>
  <si>
    <t>HRXX0099H189</t>
  </si>
  <si>
    <t>VİDA PASLANMAZ MERCİMEK BAŞLI 4,2X25</t>
  </si>
  <si>
    <t>HRXX0099H130</t>
  </si>
  <si>
    <t>VİDA SUNTA 3,5X13</t>
  </si>
  <si>
    <t>HRXX0099H132</t>
  </si>
  <si>
    <t>VİDA SUNTA 3,5X20</t>
  </si>
  <si>
    <t>HRXX0099H133</t>
  </si>
  <si>
    <t>VİDA SUNTA 3,5X25</t>
  </si>
  <si>
    <t>HRXX0099H134</t>
  </si>
  <si>
    <t>VİDA SUNTA 3,5X35</t>
  </si>
  <si>
    <t>HRXX0099H666</t>
  </si>
  <si>
    <t>VİDA SUNTA 4x35</t>
  </si>
  <si>
    <t>HRXX0099H142</t>
  </si>
  <si>
    <t>VİDA SUNTA 4X70</t>
  </si>
  <si>
    <t>HRXX0099H145</t>
  </si>
  <si>
    <t>VİDA SUNTA 5X30</t>
  </si>
  <si>
    <t>HRXX0099H342</t>
  </si>
  <si>
    <t>VİDA SUNTA 5X40</t>
  </si>
  <si>
    <t>HRXX0099H674</t>
  </si>
  <si>
    <t>VİDA TRAPEZ 5,5x38 MM</t>
  </si>
  <si>
    <t>HRXX0099H457</t>
  </si>
  <si>
    <t>VİDA YHB 3,9x38</t>
  </si>
  <si>
    <t>HRXX0099H290</t>
  </si>
  <si>
    <t>WD 40 YAĞ SÖKÜCÜ 400 ML</t>
  </si>
  <si>
    <t>HRXX0099H233</t>
  </si>
  <si>
    <t>YEDEK UÇ MAKET BIÇAĞI 18MM</t>
  </si>
  <si>
    <t>ATLS0099H029</t>
  </si>
  <si>
    <t>YUMA 50 MM ŞİFRELİ ASMA KİLİT</t>
  </si>
  <si>
    <t>HRXX0099H149</t>
  </si>
  <si>
    <t>ZIMBA TELİ 80/14</t>
  </si>
  <si>
    <t>HRXX0099H417</t>
  </si>
  <si>
    <t>ZIMBA TELİ EF15 5000Lİ</t>
  </si>
  <si>
    <t>HRXX0099H633</t>
  </si>
  <si>
    <t>ZIMPARA 3M TRIZACT HOOKIT P1000 150MM</t>
  </si>
  <si>
    <t>HRXX0099H636</t>
  </si>
  <si>
    <t>ZIMPARA 3M TRIZACT HOOKIT P1500 150MM</t>
  </si>
  <si>
    <t>HRXX0099H634</t>
  </si>
  <si>
    <t>ZIMPARA 3M TRIZACT HOOKIT P3000 150MM</t>
  </si>
  <si>
    <t>HRXX0099H635</t>
  </si>
  <si>
    <t>ZIMPARA 3M TRIZACT HOOKIT P6000 150MM</t>
  </si>
  <si>
    <t>HRXX0099H049</t>
  </si>
  <si>
    <t>ZIMPARA ORBİTAL 1000</t>
  </si>
  <si>
    <t>HRXX0099H050</t>
  </si>
  <si>
    <t>ZIMPARA ORBİTAL 120</t>
  </si>
  <si>
    <t>HRXX0099H051</t>
  </si>
  <si>
    <t>ZIMPARA ORBİTAL 1200</t>
  </si>
  <si>
    <t>HRXX0099H396</t>
  </si>
  <si>
    <t>ZIMPARA ORBİTAL 180</t>
  </si>
  <si>
    <t>HRXX0099H053</t>
  </si>
  <si>
    <t>ZIMPARA ORBİTAL 220</t>
  </si>
  <si>
    <t>HRXX0099H054</t>
  </si>
  <si>
    <t>ZIMPARA ORBİTAL 320</t>
  </si>
  <si>
    <t>HRXX0099H055</t>
  </si>
  <si>
    <t>ZIMPARA ORBİTAL 40</t>
  </si>
  <si>
    <t>HRXX0099H056</t>
  </si>
  <si>
    <t>ZIMPARA ORBİTAL 400</t>
  </si>
  <si>
    <t>HRXX0099H057</t>
  </si>
  <si>
    <t>ZIMPARA ORBİTAL 60</t>
  </si>
  <si>
    <t>HRXX0099H058</t>
  </si>
  <si>
    <t>ZIMPARA ORBİTAL 600</t>
  </si>
  <si>
    <t>HRXX0099H059</t>
  </si>
  <si>
    <t>ZIMPARA ORBİTAL 80</t>
  </si>
  <si>
    <t>HRXX0099H060</t>
  </si>
  <si>
    <t>ZIMPARA ORBİTAL 800</t>
  </si>
  <si>
    <t>HRXX0099H065</t>
  </si>
  <si>
    <t>ZIMPARA SU 1500</t>
  </si>
  <si>
    <t>HRXX0099H062</t>
  </si>
  <si>
    <t>ZIMPARA SU 2000</t>
  </si>
  <si>
    <t>KARAVAN</t>
  </si>
  <si>
    <t>KRXX0099H363</t>
  </si>
  <si>
    <t>BERHIMI BRAKET OZEL URETIM</t>
  </si>
  <si>
    <t>KRXX0099H383</t>
  </si>
  <si>
    <t>ELEKTRIKLI BASAMAK LEDLI 400MM</t>
  </si>
  <si>
    <t>KRXX0099H372</t>
  </si>
  <si>
    <t>KARAVAN CAM 300X700 SUGA</t>
  </si>
  <si>
    <t>KRXX0099H417</t>
  </si>
  <si>
    <t>ORGANIZATOR PANO 36x56  SIYAH</t>
  </si>
  <si>
    <t>KRXX0099H431</t>
  </si>
  <si>
    <t>ORGANIZATOR PANO 56x56  SIYAH</t>
  </si>
  <si>
    <t>KRXX0099H386</t>
  </si>
  <si>
    <t>TEK GOZLU KOMBINASYONLU OCAK</t>
  </si>
  <si>
    <t>KARAVAN EKIPMAN</t>
  </si>
  <si>
    <t>KRXX0099H367</t>
  </si>
  <si>
    <t>12V MANTAR IŞIKLI FANLI HAVALANDIRMA</t>
  </si>
  <si>
    <t>ATLS0099H023</t>
  </si>
  <si>
    <t>16 LIK ALÜMİNYUM KÜPEŞTE DİRSEK</t>
  </si>
  <si>
    <t>KRXX0099H371</t>
  </si>
  <si>
    <t>1700,5X580 HARTAL KAPI SİNEKLİK</t>
  </si>
  <si>
    <t>KRXX0099H369</t>
  </si>
  <si>
    <t>1754X580 HARTAL KAPI SİNEKLİK</t>
  </si>
  <si>
    <t>KRXX0099H439</t>
  </si>
  <si>
    <t>1770X610 KAPI SİNEKLİK</t>
  </si>
  <si>
    <t>ATLS0099H028</t>
  </si>
  <si>
    <t>25 mm KAYIŞ HALAT TOKASI</t>
  </si>
  <si>
    <t>KRXX0099H297</t>
  </si>
  <si>
    <t>360 DERECE MASA AYAK GXL DODGE RAM EDİTİON</t>
  </si>
  <si>
    <t>KRXX0099H404</t>
  </si>
  <si>
    <t>360 DERECE MASA AYAK GXL DODGE RAM EDİTİON PALOMA</t>
  </si>
  <si>
    <t>KRXX0099H147</t>
  </si>
  <si>
    <t>ALBİNA TENTE ÇEVİRME KOLU BEYAZ</t>
  </si>
  <si>
    <t>KRXX0099H142</t>
  </si>
  <si>
    <t>ALBİNA TENTE ÇEVİRME KOLU SİYAH</t>
  </si>
  <si>
    <t>KRXX0099H141</t>
  </si>
  <si>
    <t>ALBİNA TENTE ÇITASI SİYAH</t>
  </si>
  <si>
    <t>KRXX0099H079</t>
  </si>
  <si>
    <t>ANDROID BOX</t>
  </si>
  <si>
    <t>KRXX0099H130</t>
  </si>
  <si>
    <t>ARAÇ BİLGİ ETİKETİ - STANDART</t>
  </si>
  <si>
    <t>KRXX0099H344</t>
  </si>
  <si>
    <t>ARAÇ BİLGİ ETİKETİ - USA</t>
  </si>
  <si>
    <t>ATLS0099H021</t>
  </si>
  <si>
    <t>ATLAS ALUMINYUM KONSTRUKSIYON ISCILIK</t>
  </si>
  <si>
    <t>KRXX0099H438</t>
  </si>
  <si>
    <t>ATLAS KAPAK KİLİT SPANZET SABİTLEME SACI</t>
  </si>
  <si>
    <t>KRXX0099H329</t>
  </si>
  <si>
    <t>AYAK İÇ BAĞLANTI-ARA GÖVDE</t>
  </si>
  <si>
    <t>HRXX0099H653</t>
  </si>
  <si>
    <t>AYNA  GXL 552X307</t>
  </si>
  <si>
    <t>KRXX0099H151</t>
  </si>
  <si>
    <t>AYNA GLADİATOR 360x380</t>
  </si>
  <si>
    <t>HRXX0099H579</t>
  </si>
  <si>
    <t>AYNA GLADİATOR 720x560 GS</t>
  </si>
  <si>
    <t>HRXX0099H656</t>
  </si>
  <si>
    <t>AYNA GLADİATOR GSM 390x690</t>
  </si>
  <si>
    <t>HRXX0099H644</t>
  </si>
  <si>
    <t>AYNA GLADİATOR SH 300x420</t>
  </si>
  <si>
    <t>KRXX0099H370</t>
  </si>
  <si>
    <t>AYNA GLADİATOR SSH</t>
  </si>
  <si>
    <t>HRXX0099H580</t>
  </si>
  <si>
    <t>AYNA GLADİATOR XL 480x540 USA</t>
  </si>
  <si>
    <t>KRXX0099H127</t>
  </si>
  <si>
    <t>AYNA REVİVA-FREEDOM ŞEKİLLİ 460x770</t>
  </si>
  <si>
    <t>HRXX0099H680</t>
  </si>
  <si>
    <t>AYNA UYKU KABINI 1740*620 RADÜSLÜ</t>
  </si>
  <si>
    <t>KRXX0099H430</t>
  </si>
  <si>
    <t>BALDACCI BAS CEK KILIT BEYAZ</t>
  </si>
  <si>
    <t>KRXX0099H389</t>
  </si>
  <si>
    <t>BALDACCI BAS CEK KILIT SIYAH</t>
  </si>
  <si>
    <t>KRXX0099H001</t>
  </si>
  <si>
    <t>BALTA KÜREK MONTAJ SETİ</t>
  </si>
  <si>
    <t>KRXX0099H326</t>
  </si>
  <si>
    <t>BRAKET TENTE DOMETİC DUC/JUMP/BOXER 3 PRÇ MON KİTİ</t>
  </si>
  <si>
    <t>KRXX0099H452</t>
  </si>
  <si>
    <t>BUZDOLABI İNDEL B-CRUİSE 140 LT</t>
  </si>
  <si>
    <t>KRXX0099H086</t>
  </si>
  <si>
    <t>BUZDOLABI İNDEL B-CRUİSE 42 LT</t>
  </si>
  <si>
    <t>KRXX0099H087</t>
  </si>
  <si>
    <t>BUZDOLABI İNDEL B-CRUİSE 90 LT</t>
  </si>
  <si>
    <t>KRXX0099H375</t>
  </si>
  <si>
    <t>CENAZE ARACI ETİKET LEVHA 6x2,5cm</t>
  </si>
  <si>
    <t>KRXX0099H374</t>
  </si>
  <si>
    <t>CENAZE ARACI FOLYO STICKER REFLEKTORLU</t>
  </si>
  <si>
    <t>KRXX0099H376</t>
  </si>
  <si>
    <t>CNAZE ARACI ETİKET LEVHA RESTAR 9,3X2,3CM</t>
  </si>
  <si>
    <t>KRXX0099H441</t>
  </si>
  <si>
    <t>COURİER ARKA KORUMA DEMİRİ</t>
  </si>
  <si>
    <t>KRXX0099H440</t>
  </si>
  <si>
    <t>COURİER ÖN KORUMA DEMİRİ</t>
  </si>
  <si>
    <t>KRXX0099H398</t>
  </si>
  <si>
    <t>CYBERGLAD PLAKALIK PASLANMAZ</t>
  </si>
  <si>
    <t>KRXX0099H424</t>
  </si>
  <si>
    <t>CYBERTRUCK HAREKETLI SPANZET BAGLANTI</t>
  </si>
  <si>
    <t>KRXX0099H423</t>
  </si>
  <si>
    <t>CYBERTRUCK HAREKETLI SPANZET BAGLANTI APARATI</t>
  </si>
  <si>
    <t>KRXX0099H425</t>
  </si>
  <si>
    <t>CYBERTRUCK HAREKETLI SPANZET BAGLANTI APR. İÇ TRİM</t>
  </si>
  <si>
    <t>KRXX0099H345</t>
  </si>
  <si>
    <t>DIS GAZ ALIM NOKTASI BBQ POINT SİYAH</t>
  </si>
  <si>
    <t>KRXX0099H275</t>
  </si>
  <si>
    <t>DOMETIC CIFT GOZLU OCAK HBG 2335</t>
  </si>
  <si>
    <t>KRXX0099H304</t>
  </si>
  <si>
    <t>DUCATO POP UP T5 DOMETİC TENTE BRAKETİ-PW1100</t>
  </si>
  <si>
    <t>KRXX0099H014</t>
  </si>
  <si>
    <t>DUŞ PERDESİ</t>
  </si>
  <si>
    <t>NMN456</t>
  </si>
  <si>
    <t>DUVAR DUŞ SETİ</t>
  </si>
  <si>
    <t>KRXX0099H384</t>
  </si>
  <si>
    <t>ELEKTRIKLI ISITICI 1500W 110V</t>
  </si>
  <si>
    <t>KRXX0099H385</t>
  </si>
  <si>
    <t>ELEKTRIKLI OCAK 1200W 110V</t>
  </si>
  <si>
    <t>KRXX0099H433</t>
  </si>
  <si>
    <t>EVA 45 A MOBİL BUZDOLABI</t>
  </si>
  <si>
    <t>KRXX0099H437</t>
  </si>
  <si>
    <t>EVA RV 2700 PREMIUM KLİMA</t>
  </si>
  <si>
    <t>KRXX0099H435</t>
  </si>
  <si>
    <t>EVACOOL 12 V TAVAN KLİMASI</t>
  </si>
  <si>
    <t>KRXX0099H101</t>
  </si>
  <si>
    <t>EVYE KROM DİKDÖRTGEN</t>
  </si>
  <si>
    <t>KRXX0099H412</t>
  </si>
  <si>
    <t>F45 S MOTOR KIT COMPACT</t>
  </si>
  <si>
    <t>KRXX0099H364</t>
  </si>
  <si>
    <t>FIAMMA BRAKET OZEL URETIM</t>
  </si>
  <si>
    <t>KRXX0099H190</t>
  </si>
  <si>
    <t>FLEKSİ ÇEKME 2.8MM ŞEFFAF</t>
  </si>
  <si>
    <t>KRXX0099H292</t>
  </si>
  <si>
    <t>FLEXİ KLOZET BAĞLANTI HORTUMU DİŞİ 3,8X3,8 70CM</t>
  </si>
  <si>
    <t>KRXX0099H123</t>
  </si>
  <si>
    <t>FREEDOM SKY WINDOW ALKOVEN  YATAK ÜSTÜ</t>
  </si>
  <si>
    <t>KRXX0099H283</t>
  </si>
  <si>
    <t>GAZ HAVALANDIRMA ÇAP 75MM</t>
  </si>
  <si>
    <t>GYSC0099T001</t>
  </si>
  <si>
    <t>GIPSY SHOWER CABIN ANTRASİT</t>
  </si>
  <si>
    <t>KRXX0099H187</t>
  </si>
  <si>
    <t>GLADİATOR XL UZUN ARKA MERDİVENİ</t>
  </si>
  <si>
    <t>KRXX0099H348</t>
  </si>
  <si>
    <t>HAREKETLI SPANZET BAGLANTI</t>
  </si>
  <si>
    <t>KRXX0099H349</t>
  </si>
  <si>
    <t>HAREKETLI SPANZET BAGLANTI APARATI</t>
  </si>
  <si>
    <t>KRXX0099H352</t>
  </si>
  <si>
    <t>HAREKETLI SPANZET BAGLANTI APARATI IC TRIM</t>
  </si>
  <si>
    <t>KRXX0099H351</t>
  </si>
  <si>
    <t>HAREKETLI SPANZET BAGLANTI IC TRIM</t>
  </si>
  <si>
    <t>KRXX0099H350</t>
  </si>
  <si>
    <t>HAREKETLI SPANZET DESTEK SACI</t>
  </si>
  <si>
    <t>KRXX0099H444</t>
  </si>
  <si>
    <t>HEKİ 50X70 BEYAZ EINSTEIN</t>
  </si>
  <si>
    <t>KRXX0099H211</t>
  </si>
  <si>
    <t>HEKİ 50X70 HAVALANDIRMALI BEYAZ DOMETİC</t>
  </si>
  <si>
    <t>KRXX0099H022</t>
  </si>
  <si>
    <t>HEKİ 50X70 IŞIKSIZ BEYAZ</t>
  </si>
  <si>
    <t>KRXX0099H024</t>
  </si>
  <si>
    <t>HEKİ FANLI 28X28 BEYAZ</t>
  </si>
  <si>
    <t>KRXX0099H401</t>
  </si>
  <si>
    <t>HEKİ FANLI 28X28 BEYAZ EINSTEIN</t>
  </si>
  <si>
    <t>KRXX0099H436</t>
  </si>
  <si>
    <t>HOTOMOBİL PASLANMAZ PLAKALIK</t>
  </si>
  <si>
    <t>KRXX0099H294</t>
  </si>
  <si>
    <t>HYDRONIC S3</t>
  </si>
  <si>
    <t>ATLS0099H001</t>
  </si>
  <si>
    <t>KAMP LAMBASI -40 LÜMEN MAVİ</t>
  </si>
  <si>
    <t>ATLS0099H013</t>
  </si>
  <si>
    <t>KANCALI BAGAJ LASTIGI 100CM</t>
  </si>
  <si>
    <t>KRXX0099H027</t>
  </si>
  <si>
    <t>KARAVAN CAM 300X500 BERHIMI</t>
  </si>
  <si>
    <t>KRXX0099H391</t>
  </si>
  <si>
    <t>KARAVAN CAM 300X500 EINSTEIN</t>
  </si>
  <si>
    <t>KRXX0099H427</t>
  </si>
  <si>
    <t>KRXX0099H342</t>
  </si>
  <si>
    <t>KARAVAN CAM 300X500 JARUP</t>
  </si>
  <si>
    <t>KRXX0099H365</t>
  </si>
  <si>
    <t>KARAVAN CAM 300X500 SUGA</t>
  </si>
  <si>
    <t>KRXX0099H029</t>
  </si>
  <si>
    <t>KARAVAN CAM 300X700 BERHIMI</t>
  </si>
  <si>
    <t>KRXX0099H394</t>
  </si>
  <si>
    <t>KARAVAN CAM 300X700 EINSTEIN</t>
  </si>
  <si>
    <t>KRXX0099H429</t>
  </si>
  <si>
    <t>KRXX0099H377</t>
  </si>
  <si>
    <t>KARAVAN CAM 300X700 JARUP</t>
  </si>
  <si>
    <t>KRXX0099H366</t>
  </si>
  <si>
    <t>KARAVAN CAM 450X1100 SUGA</t>
  </si>
  <si>
    <t>KRXX0099H031</t>
  </si>
  <si>
    <t>KARAVAN CAM 450X500 BERHIMI</t>
  </si>
  <si>
    <t>KRXX0099H392</t>
  </si>
  <si>
    <t>KARAVAN CAM 450X500 EINSTEIN</t>
  </si>
  <si>
    <t>KRXX0099H379</t>
  </si>
  <si>
    <t>KARAVAN CAM 450X500 JARUP</t>
  </si>
  <si>
    <t>KRXX0099H443</t>
  </si>
  <si>
    <t>KARAVAN CAM 500X1200 EINSTEIN</t>
  </si>
  <si>
    <t>KRXX0099H254</t>
  </si>
  <si>
    <t>KARAVAN CAM 500x300 DİK BUZLU</t>
  </si>
  <si>
    <t>KRXX0099H034</t>
  </si>
  <si>
    <t>KARAVAN CAM 500X900 BERHIMI</t>
  </si>
  <si>
    <t>KRXX0099H393</t>
  </si>
  <si>
    <t>KARAVAN CAM 500X900 EINSTEIN</t>
  </si>
  <si>
    <t>KRXX0099H378</t>
  </si>
  <si>
    <t>KARAVAN CAM 500X900 JARUP</t>
  </si>
  <si>
    <t>NMN459</t>
  </si>
  <si>
    <t>KARAVAN ELEKTRİK-TV GİRİŞİ ABL</t>
  </si>
  <si>
    <t>KRXX0099H239</t>
  </si>
  <si>
    <t>KARAVAN KAPISI 58X181</t>
  </si>
  <si>
    <t>KRXX0099H111</t>
  </si>
  <si>
    <t>KARAVAN KAPISI 60X181</t>
  </si>
  <si>
    <t>KRXX0099H118</t>
  </si>
  <si>
    <t>KARAVAN KAPISI HARTAL MODEL2 1718X550mm</t>
  </si>
  <si>
    <t>KRXX0099H114</t>
  </si>
  <si>
    <t>KAUÇUK TAKOZ CİVATALI 9CM</t>
  </si>
  <si>
    <t>KRXX0099H107</t>
  </si>
  <si>
    <t>KOLTUK MEKANİZMASI DÖNER</t>
  </si>
  <si>
    <t>KRXX0099H038</t>
  </si>
  <si>
    <t>KUM PALETİ ASKI HAZIRLIĞI</t>
  </si>
  <si>
    <t>KRXX0099H332</t>
  </si>
  <si>
    <t>KUM PALETİ ASKI HAZIRLIĞI YENİ TİP</t>
  </si>
  <si>
    <t>KRXX0099H039</t>
  </si>
  <si>
    <t>KUM PALETİ SİYAH</t>
  </si>
  <si>
    <t>KRXX0099H040</t>
  </si>
  <si>
    <t>KUM PALETİ TURUNCU</t>
  </si>
  <si>
    <t>KRXX0099H132</t>
  </si>
  <si>
    <t>KUM-BALTA X10</t>
  </si>
  <si>
    <t>KRXX0099H041</t>
  </si>
  <si>
    <t>KUM-BALTA X7</t>
  </si>
  <si>
    <t>KRXX0099H042</t>
  </si>
  <si>
    <t>KUM-KÜREK</t>
  </si>
  <si>
    <t>KRXX0099H406</t>
  </si>
  <si>
    <t>MACERATÖR POMPA JOHNSON TA3P10-19 12V</t>
  </si>
  <si>
    <t>KRXX0099H045</t>
  </si>
  <si>
    <t>MASA AYAK UZUN KROM</t>
  </si>
  <si>
    <t>KRXX0099H046</t>
  </si>
  <si>
    <t>MASA DUVAR APARATI</t>
  </si>
  <si>
    <t>KRXX0099H047</t>
  </si>
  <si>
    <t>MASA KATLANIR AYAK</t>
  </si>
  <si>
    <t>KRXX0099H108</t>
  </si>
  <si>
    <t>MERDİVEN 3+1 BASAMAKLI ALÜMİNYUM</t>
  </si>
  <si>
    <t>KRXX0099H048</t>
  </si>
  <si>
    <t>MERDİVEN UZUN ARKA</t>
  </si>
  <si>
    <t>MKTS0099H035</t>
  </si>
  <si>
    <t>OCAK VE EVYE TEK GÖZLÜ KOMBİNASYONLU (SOL OCAK SAĞ</t>
  </si>
  <si>
    <t>MKTS0099H185</t>
  </si>
  <si>
    <t>KRXX0099H399</t>
  </si>
  <si>
    <t>OCTOOPİ  HARNESS  GLADIATOR</t>
  </si>
  <si>
    <t>KRXX0099H400</t>
  </si>
  <si>
    <t>OCTOOPİ  HARNESS  GLADIATOR XL</t>
  </si>
  <si>
    <t>KRXX0099H450</t>
  </si>
  <si>
    <t>OCTOOPİ  HARNESS  TEK MODEL</t>
  </si>
  <si>
    <t>KRXX0099H233</t>
  </si>
  <si>
    <t>OCTOOPİ 4,3İNC</t>
  </si>
  <si>
    <t>KRXX0099H232</t>
  </si>
  <si>
    <t>OCTOOPİ 7İNC</t>
  </si>
  <si>
    <t>KRXX0099H286</t>
  </si>
  <si>
    <t>OCTOOPİ ŞAMANDIRA 20 CM</t>
  </si>
  <si>
    <t>KRXX0099H287</t>
  </si>
  <si>
    <t>OCTOOPİ ŞAMANDIRA 25 CM</t>
  </si>
  <si>
    <t>NMN458</t>
  </si>
  <si>
    <t>OKUMA LAMBASI DIMATEC 12V</t>
  </si>
  <si>
    <t>KRXX0099H422</t>
  </si>
  <si>
    <t>ORGANİZATOR PANO  LASTIK BEYAZ</t>
  </si>
  <si>
    <t>KRXX0099H421</t>
  </si>
  <si>
    <t>ORGANİZATOR PANO  TUTTURUCU BEYAZ</t>
  </si>
  <si>
    <t>KRXX0099H418</t>
  </si>
  <si>
    <t>ORGANİZATOR PANO 3LU KUTU SET BEYAZ</t>
  </si>
  <si>
    <t>KRXX0099H419</t>
  </si>
  <si>
    <t>ORGANİZATOR PANO ANAHTARLIK BEYAZ</t>
  </si>
  <si>
    <t>KRXX0099H420</t>
  </si>
  <si>
    <t>ORGANİZATOR PANO KALEMLIK KUTU SIYAH</t>
  </si>
  <si>
    <t>KRXX0099H128</t>
  </si>
  <si>
    <t>ORGANİZATÖR FİLE</t>
  </si>
  <si>
    <t>KRXX0099H356</t>
  </si>
  <si>
    <t>ORYANTAL RAY - DUS PERDESI RAYI</t>
  </si>
  <si>
    <t>KRXX0099H449</t>
  </si>
  <si>
    <t>PLASTIK KONTROL KAPAGI-DIŞ ÇAP 150 MM BEYAZ</t>
  </si>
  <si>
    <t>KRXX0099H249</t>
  </si>
  <si>
    <t>PLASTIK KONTROL KAPAGI-IC CAP 165MM</t>
  </si>
  <si>
    <t>KRXX0099H415</t>
  </si>
  <si>
    <t>PLEKSI CEKME 3,8MM SIYAH</t>
  </si>
  <si>
    <t>KRXX0099H442</t>
  </si>
  <si>
    <t>PLEKSI CEKME 7,8MM SEFFAF</t>
  </si>
  <si>
    <t>KRXX0099H256</t>
  </si>
  <si>
    <t>POP-UP SCA214 DUCATO</t>
  </si>
  <si>
    <t>ATLS0099H020</t>
  </si>
  <si>
    <t>PROFIL ALUMINYUM 2MM</t>
  </si>
  <si>
    <t>KRXX0099H218</t>
  </si>
  <si>
    <t>REİCH DIŞ DUŞ JAKLI SİYAH</t>
  </si>
  <si>
    <t>KRXX0099H340</t>
  </si>
  <si>
    <t>REVİVA DUCATO 13M3 KUŞ TÜYÜ YAYLI YATAK</t>
  </si>
  <si>
    <t>KRXX0099H273</t>
  </si>
  <si>
    <t>REVİVA DUCATO KUŞ TÜYÜ YAYLI YATAK DOUBLE COMFORT</t>
  </si>
  <si>
    <t>KRXX0099H299</t>
  </si>
  <si>
    <t>REVİVA FOLYO STİCKER UYGULAMA YENİ TASARIM</t>
  </si>
  <si>
    <t>KRXX0099H279</t>
  </si>
  <si>
    <t>RONİN XL FOLYO STİCKER UYGULAMA</t>
  </si>
  <si>
    <t>NMN461</t>
  </si>
  <si>
    <t>RULO MERDANE 10CM LINOL</t>
  </si>
  <si>
    <t>KRXX0099H381</t>
  </si>
  <si>
    <t>SABİT IZGARALI MENFEZ KAFASI 60 MM</t>
  </si>
  <si>
    <t>KRXX0099H405</t>
  </si>
  <si>
    <t>SERVIS KAPISI 3 SIYAH SANJO</t>
  </si>
  <si>
    <t>KRXX0099H053</t>
  </si>
  <si>
    <t>SERVİS KAPISI 3 BEYAZ</t>
  </si>
  <si>
    <t>NMN447</t>
  </si>
  <si>
    <t>SERVİS KAPISI 3 SİYAH RANGER</t>
  </si>
  <si>
    <t>KRXX0099H055</t>
  </si>
  <si>
    <t>SERVİS KAPISI 7 BEYAZ</t>
  </si>
  <si>
    <t>NMN468</t>
  </si>
  <si>
    <t>SIYAH DIŞ MENFEZ</t>
  </si>
  <si>
    <t>KRXX0099H056</t>
  </si>
  <si>
    <t>SİNEKLİK 610X1795</t>
  </si>
  <si>
    <t>KRXX0099H120</t>
  </si>
  <si>
    <t>SİNEKLİK DOMETİC FLY TEC FT200</t>
  </si>
  <si>
    <t>MKTS0099H118</t>
  </si>
  <si>
    <t>SU DOLUM AĞZI BERHİMİ SİYAH</t>
  </si>
  <si>
    <t>KRXX0099H388</t>
  </si>
  <si>
    <t>SÜNGER İKİLİ KOLTUK BAŞLIK YENİ</t>
  </si>
  <si>
    <t>KRXX0099H387</t>
  </si>
  <si>
    <t>SÜNGER İKİLİ KOLTUK TAKIM YENİ</t>
  </si>
  <si>
    <t>KRXX0099H358</t>
  </si>
  <si>
    <t>TAHARET MATİK</t>
  </si>
  <si>
    <t>KRXX0099H293</t>
  </si>
  <si>
    <t>TAHARET MUSLUĞU AÇ-KAPA</t>
  </si>
  <si>
    <t>KRXX0099H432</t>
  </si>
  <si>
    <t>TAM AÇILIM 120 CM MAFSALLI AMORTİSÖR</t>
  </si>
  <si>
    <t>ATLS0099H010</t>
  </si>
  <si>
    <t>TAVAN ÇITASI GUMUS</t>
  </si>
  <si>
    <t>ATLS0099H002</t>
  </si>
  <si>
    <t>TAVAN ÇITASI SIYAH</t>
  </si>
  <si>
    <t>ATLS0099H012</t>
  </si>
  <si>
    <t>TAVAN ÇITASI SIYAH ARA ATKI</t>
  </si>
  <si>
    <t>KRXX0099H210</t>
  </si>
  <si>
    <t>TELESKOBİK MASA AYAK NUOVA 360 FREEDOM-RXL</t>
  </si>
  <si>
    <t>KRXX0099H234</t>
  </si>
  <si>
    <t>TELESKOBİK MERDİVEN TEK AYAKLI 2,60M</t>
  </si>
  <si>
    <t>KRXX0099H202</t>
  </si>
  <si>
    <t>TELESKOPİK MASA AYAK RANGER90 REVİVA</t>
  </si>
  <si>
    <t>KRXX0099H180</t>
  </si>
  <si>
    <t>TELEVIZYON ANDROID 24INC AKILLI TV</t>
  </si>
  <si>
    <t>KRXX0099H382</t>
  </si>
  <si>
    <t>TELEVİZYON 20 ''</t>
  </si>
  <si>
    <t>KRXX0099H355</t>
  </si>
  <si>
    <t>TENTE ALBINA IC TRIM</t>
  </si>
  <si>
    <t>KRXX0099H059</t>
  </si>
  <si>
    <t>TENTE ALBİNA 2.2 SİYAH</t>
  </si>
  <si>
    <t>KRXX0099H061</t>
  </si>
  <si>
    <t>TENTE ALBİNA 2.4 SİYAH</t>
  </si>
  <si>
    <t>KRXX0099H281</t>
  </si>
  <si>
    <t>TENTE BERHİMİ 2,5M SİYAH</t>
  </si>
  <si>
    <t>KRXX0099H322</t>
  </si>
  <si>
    <t>TENTE DOMETİC 2.60M ANTRASİT</t>
  </si>
  <si>
    <t>KRXX0099H434</t>
  </si>
  <si>
    <t>TENTE DOMETİC 3,75 M SİYAH ÇATI</t>
  </si>
  <si>
    <t>KRXX0099H354</t>
  </si>
  <si>
    <t>TENTE DOMETİC 3M ANTRASİT</t>
  </si>
  <si>
    <t>KRXX0099H337</t>
  </si>
  <si>
    <t>TENTE DOMETİC 4MT ANTRASİT POPUP DUVAR</t>
  </si>
  <si>
    <t>KRXX0099H140</t>
  </si>
  <si>
    <t>TENTE FİAMMA 2.60 SİYAH</t>
  </si>
  <si>
    <t>KRXX0099H208</t>
  </si>
  <si>
    <t>TRUMA COMBİ 4E İNET X PANEL</t>
  </si>
  <si>
    <t>KRXX0099H336</t>
  </si>
  <si>
    <t>TUVALET KASETLİ C 200-CS (SIRTLI)</t>
  </si>
  <si>
    <t>KRXX0099H073</t>
  </si>
  <si>
    <t>TUVALET KASETLİ C 223-CS (SIRTLI)</t>
  </si>
  <si>
    <t>KRXX0099H074</t>
  </si>
  <si>
    <t>TUVALET KASETLİ C 223-S</t>
  </si>
  <si>
    <t>KRXX0099H402</t>
  </si>
  <si>
    <t>TUVALET MACERATÖR POMPALI</t>
  </si>
  <si>
    <t>KRXX0099H257</t>
  </si>
  <si>
    <t>TUVALET PORTATİF 165</t>
  </si>
  <si>
    <t>KRXX0099H076</t>
  </si>
  <si>
    <t>TUVALET PORTATİF 565 E-ELEKTRİKLİ</t>
  </si>
  <si>
    <t>KRXX0099H403</t>
  </si>
  <si>
    <t>TUVALET SELENOİD VALF</t>
  </si>
  <si>
    <t>KRXX0099H333</t>
  </si>
  <si>
    <t>TÜP TAŞIYICI DIŞ YENİT TİP KÜÇÜK</t>
  </si>
  <si>
    <t>KRXX0099H098</t>
  </si>
  <si>
    <t>TV ASKISI VE HAZIRLIĞI METAL SİYAH</t>
  </si>
  <si>
    <t>KRXX0099H368</t>
  </si>
  <si>
    <t>U-FRİGO 12 V TAVAN KLİMASI</t>
  </si>
  <si>
    <t>KRXX0099H416</t>
  </si>
  <si>
    <t>URBAN BADGER PASLANMAZ PLAKALIK</t>
  </si>
  <si>
    <t>KRXX0099H390</t>
  </si>
  <si>
    <t>USA 125V PASLANMAZ CELIK GUC GIRISI 50A</t>
  </si>
  <si>
    <t>NMN460</t>
  </si>
  <si>
    <t>USB TYPE-C SOKET GIRISI SUGA</t>
  </si>
  <si>
    <t>KRXX0099H305</t>
  </si>
  <si>
    <t>YANDAN RAYLI MUTFAK DOLAP ALTI ŞİŞELİK 20 LİK</t>
  </si>
  <si>
    <t>KIMYASAL</t>
  </si>
  <si>
    <t>KMBY0099H093</t>
  </si>
  <si>
    <t>3M 09375 PASTA 1 LT</t>
  </si>
  <si>
    <t>KMBY0099H095</t>
  </si>
  <si>
    <t>3M 50383 HARE GİDERİCİ CİLA  1 LT</t>
  </si>
  <si>
    <t>KMBY0099H091</t>
  </si>
  <si>
    <t>3M 51815 EKSTREME PASTA 1 LT</t>
  </si>
  <si>
    <t>KMBY0099H092</t>
  </si>
  <si>
    <t>3M 9374 KALIN  PASTA 1 LT</t>
  </si>
  <si>
    <t>KMPY0099H024</t>
  </si>
  <si>
    <t>ABS LEVHA 3MM BEYAZ</t>
  </si>
  <si>
    <t>KMPY0099H001</t>
  </si>
  <si>
    <t>AEROSİL</t>
  </si>
  <si>
    <t>KMBY0099H090</t>
  </si>
  <si>
    <t>AKRİLİK ASTAR</t>
  </si>
  <si>
    <t>KMMK0099H001</t>
  </si>
  <si>
    <t>ANTİFİRİZ S3</t>
  </si>
  <si>
    <t>KMIZ0099H077</t>
  </si>
  <si>
    <t>BALLY CADIR BAKIM KITI</t>
  </si>
  <si>
    <t>KMBY0099H064</t>
  </si>
  <si>
    <t>BOYA AKRILIK TENEKE 9016 MAT BEYAZ</t>
  </si>
  <si>
    <t>KMBY9016H075</t>
  </si>
  <si>
    <t>BOYA AKRİLİK SPREY 9016 PARLAK BEYAZ</t>
  </si>
  <si>
    <t>KMBY5011H088</t>
  </si>
  <si>
    <t>BOYA AKRİLİK TENEKE 5011 LACİVERT</t>
  </si>
  <si>
    <t>KMBY9005H009</t>
  </si>
  <si>
    <t>BOYA AKRİLİK TENEKE 9005 MAT SİYAH</t>
  </si>
  <si>
    <t>KMBY9016H010</t>
  </si>
  <si>
    <t>BOYA AKRİLİK TENEKE 9016 PARLAK BEYAZ</t>
  </si>
  <si>
    <t>KMBY6013H008</t>
  </si>
  <si>
    <t>BOYA RAL 6003 AKRİLİK 2K OPAK</t>
  </si>
  <si>
    <t>KMBY6013H007</t>
  </si>
  <si>
    <t>BOYA RAL 8011 AKRİLİK 2K OPAK</t>
  </si>
  <si>
    <t>KMBY0099H018</t>
  </si>
  <si>
    <t>BOYA SELÜLOZİK SPREY SİYAH</t>
  </si>
  <si>
    <t>KMIZ0099H074</t>
  </si>
  <si>
    <t>COMFORT POLİURETAN KÖPÜK 750 ML</t>
  </si>
  <si>
    <t>KMIZ0099H001</t>
  </si>
  <si>
    <t>ELYAF E MAT 300 CAM</t>
  </si>
  <si>
    <t>KMIZ0099H002</t>
  </si>
  <si>
    <t>ELYAF E MAT 450 CAM</t>
  </si>
  <si>
    <t>KMBY0099H097</t>
  </si>
  <si>
    <t>G MOP AŞINDIRICI SUNGER</t>
  </si>
  <si>
    <t>KMBY0099H089</t>
  </si>
  <si>
    <t>G MOP CILA SUNGERI</t>
  </si>
  <si>
    <t>KMPY0657H025</t>
  </si>
  <si>
    <t>JELKOT POLİYA POLİJEL 215 43 SİYAH</t>
  </si>
  <si>
    <t>KMPY0099H015</t>
  </si>
  <si>
    <t>KALIP AYIRICI PROVAKS</t>
  </si>
  <si>
    <t>KMPY0099H013</t>
  </si>
  <si>
    <t>KALIP AYIRICI SIVI PVA</t>
  </si>
  <si>
    <t>KMPY0657H023</t>
  </si>
  <si>
    <t>KALIP JELKOT ŞEFFAF</t>
  </si>
  <si>
    <t>KMPY0657H024</t>
  </si>
  <si>
    <t>KIRPINTI ELYAF</t>
  </si>
  <si>
    <t>KMIZ0099H072</t>
  </si>
  <si>
    <t>KODIPLAST BUTIL 570ML</t>
  </si>
  <si>
    <t>KMIZ0099H006</t>
  </si>
  <si>
    <t>KÖPÜK SPREY POLİURETAN</t>
  </si>
  <si>
    <t>KMPY0099H005</t>
  </si>
  <si>
    <t>MACUN MODEL</t>
  </si>
  <si>
    <t>KMPY0099H006</t>
  </si>
  <si>
    <t>MEK PEROKSİT-DONDURUCU M50</t>
  </si>
  <si>
    <t>KMIZ0099H071</t>
  </si>
  <si>
    <t>METYX Q625 MULTİAXİAL CAM ELYAF</t>
  </si>
  <si>
    <t>KMIZ0099H070</t>
  </si>
  <si>
    <t>METYX XL800 MULTİAXİAL CAM ELYAF</t>
  </si>
  <si>
    <t>KMIZ0099H059</t>
  </si>
  <si>
    <t>ÖRGÜ KEÇE ELYAF 600/225</t>
  </si>
  <si>
    <t>KMPY0099H007</t>
  </si>
  <si>
    <t>PARAFİN ÇÖZELTİCİ</t>
  </si>
  <si>
    <t>KMBY0099H060</t>
  </si>
  <si>
    <t>PASTA OTO</t>
  </si>
  <si>
    <t>KMBY0099H070</t>
  </si>
  <si>
    <t>PASTA SARI SÜNGER</t>
  </si>
  <si>
    <t>KMIZ0099H075</t>
  </si>
  <si>
    <t>PE KÖPÜK 1000x2000x30</t>
  </si>
  <si>
    <t>KMBY1021H075</t>
  </si>
  <si>
    <t>PİGMENT RAL 1021 SARI</t>
  </si>
  <si>
    <t>KMBY0099H063</t>
  </si>
  <si>
    <t>PİGMENT RAL 9005 SİYAH</t>
  </si>
  <si>
    <t>KMBY0099H094</t>
  </si>
  <si>
    <t>PLASTİK ASTAR SPREY</t>
  </si>
  <si>
    <t>KMBY0099H085</t>
  </si>
  <si>
    <t>PLASTİK ASTAR ŞEFFAF</t>
  </si>
  <si>
    <t>KMPY0099H022</t>
  </si>
  <si>
    <t>POLİKOR POLİFİBRO MİKRO FİBER MACUN 500GR</t>
  </si>
  <si>
    <t>KMBY0099H052</t>
  </si>
  <si>
    <t>POLİÜRETAN HAMMADDE 1030</t>
  </si>
  <si>
    <t>KMBY0099H053</t>
  </si>
  <si>
    <t>POLİÜRETAN MDİ</t>
  </si>
  <si>
    <t>KMPY0099H023</t>
  </si>
  <si>
    <t>POLİYA POLİJEL F 209 Z GRİ</t>
  </si>
  <si>
    <t>KMPY9016H026</t>
  </si>
  <si>
    <t>POLİYA POLİJEL F 215 BEYAZ (RAL-9016)</t>
  </si>
  <si>
    <t>KMPY5011H024</t>
  </si>
  <si>
    <t>POLİYA POLİJEL F 215 LACİVERT (RAL-5011)</t>
  </si>
  <si>
    <t>KMIZ0099H073</t>
  </si>
  <si>
    <t>POLURETAN KOPUK 30MM</t>
  </si>
  <si>
    <t>KMPY0099H008</t>
  </si>
  <si>
    <t>POLYESTER</t>
  </si>
  <si>
    <t>KMPY0099H009</t>
  </si>
  <si>
    <t>POLYESTER  İNCELTİCİ STREN</t>
  </si>
  <si>
    <t>KMPY0099H010</t>
  </si>
  <si>
    <t>POLYESTER ÇELİK MACUN</t>
  </si>
  <si>
    <t>KMPY0099H011</t>
  </si>
  <si>
    <t>POLYESTER TEMİZLEYİCİ ASETON</t>
  </si>
  <si>
    <t>KMBY0099H050</t>
  </si>
  <si>
    <t>POLYUERA HAMMADDE PR-820</t>
  </si>
  <si>
    <t>KMBY0099H051</t>
  </si>
  <si>
    <t>POLYUERA ISO</t>
  </si>
  <si>
    <t>KMIZ0099H011</t>
  </si>
  <si>
    <t>PRİMER</t>
  </si>
  <si>
    <t>KMBY5004H016</t>
  </si>
  <si>
    <t>RAPTOR LINER TINTABLE (KİT)  MAT SİYAH(RAL9005)</t>
  </si>
  <si>
    <t>KMBY5004H015</t>
  </si>
  <si>
    <t>RAPTOR LİNER TİNTABLE (RAL 5002)</t>
  </si>
  <si>
    <t>KMBY5004H014</t>
  </si>
  <si>
    <t>RAPTOR LİNER TİNTABLE BOYA HAZNESİ</t>
  </si>
  <si>
    <t>KMBY5004H013</t>
  </si>
  <si>
    <t>RAPTOR LİNER TİNTABLE SERTLEŞTİRİCİ</t>
  </si>
  <si>
    <t>KMBY5004H017</t>
  </si>
  <si>
    <t>RAPTOR LİNER TİNTABLE STANDART KİT 0,95 lt</t>
  </si>
  <si>
    <t>KMBY5004H008</t>
  </si>
  <si>
    <t>RAPTOR LİNER TİNTABLE(RAL 1001)</t>
  </si>
  <si>
    <t>KMBY5004H010</t>
  </si>
  <si>
    <t>RAPTOR LİNER TİNTABLE(RAL 6013)</t>
  </si>
  <si>
    <t>KMBY5004H009</t>
  </si>
  <si>
    <t>RAPTOR LİNER TİNTABLE(RAL 7016)</t>
  </si>
  <si>
    <t>KMBY5004H011</t>
  </si>
  <si>
    <t>RAPTOR LİNER TİNTABLE(RAL 9005)</t>
  </si>
  <si>
    <t>KMBY5004H012</t>
  </si>
  <si>
    <t>RAPTOR LİNER TİNTABLE(RAL 9016)</t>
  </si>
  <si>
    <t>KMBY0099H057</t>
  </si>
  <si>
    <t>RÖTÜŞ KALEM CEVİZ</t>
  </si>
  <si>
    <t>KMBY0099H059</t>
  </si>
  <si>
    <t>RÖTÜŞ KALEM MEŞE</t>
  </si>
  <si>
    <t>KMBY0099H087</t>
  </si>
  <si>
    <t>SERTLEŞTİRİCİ AKRİLİK MAT</t>
  </si>
  <si>
    <t>KMBY0099H066</t>
  </si>
  <si>
    <t>SERTLEŞTİRİCİ AKRİLİK SON KAT</t>
  </si>
  <si>
    <t>KMBY0099H037</t>
  </si>
  <si>
    <t>SERTLEŞTİRİCİ AKRİLİK SON KAT HIZLI</t>
  </si>
  <si>
    <t>NMN466</t>
  </si>
  <si>
    <t>SIZDIRMAZ DUZELTICI SPREY</t>
  </si>
  <si>
    <t>KMIZ0099H058</t>
  </si>
  <si>
    <t>SİKAFLEX 100 AKTİVATÖR 1000ML</t>
  </si>
  <si>
    <t>KMIZ0099H057</t>
  </si>
  <si>
    <t>SİKAFLEX 206 PRİMER 1000ML</t>
  </si>
  <si>
    <t>KMIZ0099H061</t>
  </si>
  <si>
    <t>SİKAFLEX 252 BEYAZ KARTUŞ 300ML</t>
  </si>
  <si>
    <t>KMIZ0099H015</t>
  </si>
  <si>
    <t>SİLİKON AYNA</t>
  </si>
  <si>
    <t>KMIZ0099H037</t>
  </si>
  <si>
    <t>SİLİKON ÇİVİ TÜP</t>
  </si>
  <si>
    <t>KMIZ0099H016</t>
  </si>
  <si>
    <t>SİLİKON DOLAP TOPLAMA KİTİ</t>
  </si>
  <si>
    <t>KMPY0099H018</t>
  </si>
  <si>
    <t>SOLVENT MOBİLYA TUTKAL TEMİZLEME 3 NUMARA</t>
  </si>
  <si>
    <t>KMPY0099H019</t>
  </si>
  <si>
    <t>SOLVENT MONTAJ TEMİZLEME 1  NUMARA</t>
  </si>
  <si>
    <t>KMBY0099H048</t>
  </si>
  <si>
    <t>SPREY BOYA PARLAK SİYAH</t>
  </si>
  <si>
    <t>DSXX0099H048</t>
  </si>
  <si>
    <t>SPREY S1 YAPIŞTIRICI 15LT</t>
  </si>
  <si>
    <t>DSXX0099H118</t>
  </si>
  <si>
    <t>SPREY S1 YAPIŞTIRICI 3LT</t>
  </si>
  <si>
    <t>KMIZ0099H027</t>
  </si>
  <si>
    <t>STRAFOR KÖPÜK 2 CM</t>
  </si>
  <si>
    <t>KMBY0099H039</t>
  </si>
  <si>
    <t>TİNER AKRİLİK</t>
  </si>
  <si>
    <t>KMBY0099H040</t>
  </si>
  <si>
    <t>TİNER SELÜLOZİK - BOYA</t>
  </si>
  <si>
    <t>KMIZ0099H028</t>
  </si>
  <si>
    <t>TUTKAL DENİZ MAGNETO 500GR</t>
  </si>
  <si>
    <t>KMIZ0099H034</t>
  </si>
  <si>
    <t>TUTKAL KONTAK PRES İÇİN</t>
  </si>
  <si>
    <t>KMIZ0099H076</t>
  </si>
  <si>
    <t>KMPY0099H012</t>
  </si>
  <si>
    <t>WAX POLYESTER SV6</t>
  </si>
  <si>
    <t>KMIZ0099H029</t>
  </si>
  <si>
    <t>YAPIŞTIRICI HIZLI XXX GR</t>
  </si>
  <si>
    <t>MEKANIK</t>
  </si>
  <si>
    <t>MKTS0099H004</t>
  </si>
  <si>
    <t>AD BLUE KAPAK</t>
  </si>
  <si>
    <t>MKSF0099H080</t>
  </si>
  <si>
    <t>ARA NIPEL CIFT YUKSUKLU M8</t>
  </si>
  <si>
    <t>MKTS0099H080</t>
  </si>
  <si>
    <t>ARA NİPEL 10-1/2 MM</t>
  </si>
  <si>
    <t>MKSF0099H081</t>
  </si>
  <si>
    <t>ARA NİPEL 8-10 MM GAZ DEVRESİ</t>
  </si>
  <si>
    <t>MKSF0099H106</t>
  </si>
  <si>
    <t>ARA NİPEL 8-10 MM GAZ DEVRESİ PASLANMAZ</t>
  </si>
  <si>
    <t>MKTS0099H030</t>
  </si>
  <si>
    <t>BATARYA ÇEKİÇ FREEDOM-REVİVA BANYO</t>
  </si>
  <si>
    <t>MKTS0099H068</t>
  </si>
  <si>
    <t>BATARYA FREEDOM-REVİVA MUTFAK</t>
  </si>
  <si>
    <t>MKTS0099H006</t>
  </si>
  <si>
    <t>BATARYA GLADİATOR BANYO</t>
  </si>
  <si>
    <t>MKTS0099H210</t>
  </si>
  <si>
    <t>BELDEN BAGLAMALI EMNIYET KEMERI MANUEL</t>
  </si>
  <si>
    <t>MKSF0099H001</t>
  </si>
  <si>
    <t>BORU CELİK GAZ 8MM</t>
  </si>
  <si>
    <t>MKTS0099H227</t>
  </si>
  <si>
    <t>BORU GAZ PASLANMAZ 8X1</t>
  </si>
  <si>
    <t>MKTS0099H173</t>
  </si>
  <si>
    <t>CIFT GOZ OCAK KOMBINASYONLU IZGARALI</t>
  </si>
  <si>
    <t>MKSF0099H094</t>
  </si>
  <si>
    <t>CİVATA PASLANMAZ M8X16</t>
  </si>
  <si>
    <t>MKSF0099H004</t>
  </si>
  <si>
    <t>CİVATA PASLANMAZ M8X40</t>
  </si>
  <si>
    <t>MKSF0099H006</t>
  </si>
  <si>
    <t>CİVATA PASLANMAZ M8X50</t>
  </si>
  <si>
    <t>MKSF0099H008</t>
  </si>
  <si>
    <t>CİVATA PASLANMAZ M8X60</t>
  </si>
  <si>
    <t>MKSF0099H003</t>
  </si>
  <si>
    <t>CİVATA PASLANMAZ M8X70</t>
  </si>
  <si>
    <t>MKSF0099H086</t>
  </si>
  <si>
    <t>CİVATA PASLANMAZ M8X70 SEKMANLI</t>
  </si>
  <si>
    <t>MKTS0099H195</t>
  </si>
  <si>
    <t>CYBERTRUCK GÖVDE BAĞLANTI ARKA SAĞ</t>
  </si>
  <si>
    <t>MKTS0099H199</t>
  </si>
  <si>
    <t>CYBERTRUCK GÖVDE BAĞLANTI ARKA SAĞ TRİM</t>
  </si>
  <si>
    <t>MKTS0099H194</t>
  </si>
  <si>
    <t>CYBERTRUCK GÖVDE BAĞLANTI ARKA SOL</t>
  </si>
  <si>
    <t>MKTS0099H198</t>
  </si>
  <si>
    <t>CYBERTRUCK GÖVDE BAĞLANTI ARKA SOL TRİM</t>
  </si>
  <si>
    <t>MKTS0099H193</t>
  </si>
  <si>
    <t>CYBERTRUCK GÖVDE BAĞLANTI ÖN SAĞ</t>
  </si>
  <si>
    <t>MKTS0099H197</t>
  </si>
  <si>
    <t>CYBERTRUCK GÖVDE BAĞLANTI ÖN SAĞ TRİM</t>
  </si>
  <si>
    <t>MKTS0099H192</t>
  </si>
  <si>
    <t>CYBERTRUCK GÖVDE BAĞLANTI ÖN SOL</t>
  </si>
  <si>
    <t>MKTS0099H196</t>
  </si>
  <si>
    <t>CYBERTRUCK GÖVDE BAĞLANTI ÖN SOL TRİM</t>
  </si>
  <si>
    <t>ATLS0099H024</t>
  </si>
  <si>
    <t>ÇAP 20X2 MM ALÜMİNYUM BORU</t>
  </si>
  <si>
    <t>MKTS0099H177</t>
  </si>
  <si>
    <t>ÇAP 90X75 MM KROM MAVLİ LEDLİ BARDAK TUTUCU</t>
  </si>
  <si>
    <t>MKTS0099H034</t>
  </si>
  <si>
    <t>ÇİFT GÖZ OCAK KOMBİNASYONLU</t>
  </si>
  <si>
    <t>MKSF0099H103</t>
  </si>
  <si>
    <t>ÇİFT TARAFI İÇ DİŞ U-PVC 90 DERECE Y.M DİRSEK ÇAP</t>
  </si>
  <si>
    <t>MKTS0099H012</t>
  </si>
  <si>
    <t>DEDANTÖR AYGAZ</t>
  </si>
  <si>
    <t>MKTS0099H028</t>
  </si>
  <si>
    <t>DUCATO REVIVA KOLTUK SASESI</t>
  </si>
  <si>
    <t>MKTS0099H022</t>
  </si>
  <si>
    <t>DUŞ TAVASI-ELEKTRİKLİ SU ATIK TAHLİYESİ</t>
  </si>
  <si>
    <t>MKSF0099H100</t>
  </si>
  <si>
    <t>EBERSPAECHER HORTUM 60 MM</t>
  </si>
  <si>
    <t>MKTS0099H175</t>
  </si>
  <si>
    <t>ELEKTRIKLI AYAK KONTROL SISTEMI</t>
  </si>
  <si>
    <t>MKTS0099H174</t>
  </si>
  <si>
    <t>ELEKTRIKLI GLADIATOR AYAK</t>
  </si>
  <si>
    <t>MKTS0099H176</t>
  </si>
  <si>
    <t>ELEKTRİKLİ AYAK GÖVDE ARA BAĞLANTI</t>
  </si>
  <si>
    <t>MKTS0099H191</t>
  </si>
  <si>
    <t>MKTS0099H189</t>
  </si>
  <si>
    <t>ELEKTRİKLİ AYAK GÖVDE ARA BAĞLANTI ARKA</t>
  </si>
  <si>
    <t>MKTS0099H182</t>
  </si>
  <si>
    <t>ELEKTRİKLİ AYAK GÖVDE ARA BAĞLANTI ÖN</t>
  </si>
  <si>
    <t>MKTS0099H186</t>
  </si>
  <si>
    <t>ELEKTRİKLİ AYAK GÖVDE ARA BAĞLANTI-ARKA</t>
  </si>
  <si>
    <t>MKTS0099H181</t>
  </si>
  <si>
    <t>ELEKTRİKLİ AYAK GÖVDE ARA BAĞLANTI-ÖN</t>
  </si>
  <si>
    <t>MKTS0099H031</t>
  </si>
  <si>
    <t>FROST CONTROL</t>
  </si>
  <si>
    <t>MKTS0099H207</t>
  </si>
  <si>
    <t>FROST CONTROL-TAMSAN</t>
  </si>
  <si>
    <t>ATLS0099H011</t>
  </si>
  <si>
    <t>GERGI KILITI M8427</t>
  </si>
  <si>
    <t>MKTS0099H172</t>
  </si>
  <si>
    <t>GLADIATOR AYAK BLUEMAC ARKA</t>
  </si>
  <si>
    <t>MKTS0099H146</t>
  </si>
  <si>
    <t>GLADIATOR AYAK BLUEMAC ON</t>
  </si>
  <si>
    <t>MKSF0099H109</t>
  </si>
  <si>
    <t>GLADIATOR GAZ HORTUM  ÇAKTIRMA 60 CM</t>
  </si>
  <si>
    <t>MKTS0099H125</t>
  </si>
  <si>
    <t>GLADİATOR AYAK GÖVDE BAĞLANTI YAZISI</t>
  </si>
  <si>
    <t>MKTS0099H124</t>
  </si>
  <si>
    <t>GLADİATOR AYAK GÖVDE BAĞLANTISI NO.1 SOL ARKA</t>
  </si>
  <si>
    <t>MKTS0099H123</t>
  </si>
  <si>
    <t>GLADİATOR AYAK GÖVDE BAĞLANTISI NO.2 SOL ÖN</t>
  </si>
  <si>
    <t>MKTS0099H098</t>
  </si>
  <si>
    <t>GLADİATOR AYAK GÖVDE BAĞLANTISI NO.3 SAĞ ARKA</t>
  </si>
  <si>
    <t>MKTS0099H097</t>
  </si>
  <si>
    <t>GLADİATOR AYAK GÖVDE BAĞLANTISI NO.4 SAĞ ÖN</t>
  </si>
  <si>
    <t>MKTS0099H119</t>
  </si>
  <si>
    <t>GLADiATOR AYAK SAĞ ARKA NO.3 TRİM</t>
  </si>
  <si>
    <t>MKTS0099H120</t>
  </si>
  <si>
    <t>GLADiATOR AYAK SAĞ ÖN NO.4 TRİM</t>
  </si>
  <si>
    <t>MKTS0099H121</t>
  </si>
  <si>
    <t>GLADiATOR AYAK SOL ARKA NO.1 TRİM</t>
  </si>
  <si>
    <t>MKTS0099H122</t>
  </si>
  <si>
    <t>GLADiATOR AYAK SOL ÖN NO.2 TRİM</t>
  </si>
  <si>
    <t>MKTS0099H130</t>
  </si>
  <si>
    <t>GLADİATOR XL AYAK GÖVDE BAĞLANTISI SAĞ ARKA NO.3</t>
  </si>
  <si>
    <t>MKTS0099H131</t>
  </si>
  <si>
    <t>GLADİATOR XL AYAK GÖVDE BAĞLANTISI SAĞ ÖN NO.4</t>
  </si>
  <si>
    <t>MKTS0099H128</t>
  </si>
  <si>
    <t>GLADİATOR XL AYAK GÖVDE BAĞLANTISI SOL ARKA NO.1</t>
  </si>
  <si>
    <t>MKTS0099H129</t>
  </si>
  <si>
    <t>GLADİATOR XL AYAK GÖVDE BAĞLANTISI SOL ÖN NO.2</t>
  </si>
  <si>
    <t>MKTS0099H135</t>
  </si>
  <si>
    <t>GLADiATOR XL AYAK SAĞ ARKA NO.3 TRİM</t>
  </si>
  <si>
    <t>MKTS0099H136</t>
  </si>
  <si>
    <t>GLADiATOR XL AYAK SAĞ ÖN NO.4 TRİM</t>
  </si>
  <si>
    <t>MKTS0099H133</t>
  </si>
  <si>
    <t>GLADiATOR XL AYAK SOL ARKA NO.1 TRİM</t>
  </si>
  <si>
    <t>MKTS0099H134</t>
  </si>
  <si>
    <t>GLADiATOR XL AYAK SOL ÖN NO.2 TRİM</t>
  </si>
  <si>
    <t>MKTS0099H014</t>
  </si>
  <si>
    <t>GLADİATOR-GXLD PİS SU TANKI 18LT SİYAH 16X56X25</t>
  </si>
  <si>
    <t>MKTS0099H206</t>
  </si>
  <si>
    <t>GLADİATOR-GXLD PİS SU TANKI 21LT SİYAH YENI</t>
  </si>
  <si>
    <t>MKTS0099H016</t>
  </si>
  <si>
    <t>GLADİATOR-GXLD TEMİZ SU TANKI 47LT BEYAZ 40X56X25</t>
  </si>
  <si>
    <t>MKTS0099H205</t>
  </si>
  <si>
    <t>GLADİATOR-GXLD TEMİZ SU TANKI 55LT BEYAZ YENI</t>
  </si>
  <si>
    <t>MKTS0099H183</t>
  </si>
  <si>
    <t>GLADİATÖR TENTE BRAKETİ</t>
  </si>
  <si>
    <t>MKTS0099H184</t>
  </si>
  <si>
    <t>GLADİATÖR TENTE BRAKETİ XL</t>
  </si>
  <si>
    <t>MKTS0099H200</t>
  </si>
  <si>
    <t>GÖVDE BAĞLANTI YÜK KANCASI</t>
  </si>
  <si>
    <t>MKTS0099H209</t>
  </si>
  <si>
    <t>GXLE TEMİZ SU TANKI 90LT BEYAZ YENI 48X75X27</t>
  </si>
  <si>
    <t>MKXX0099H002</t>
  </si>
  <si>
    <t>HIDROFOR 12V 10 LITRE 2.1 BAR</t>
  </si>
  <si>
    <t>MKTS0099H187</t>
  </si>
  <si>
    <t>HIDROFOR 7,5LT 2,1 BAR SUGA</t>
  </si>
  <si>
    <t>MKTS0099H049</t>
  </si>
  <si>
    <t>HİDRAFOR 1.9</t>
  </si>
  <si>
    <t>MKSF0099H020</t>
  </si>
  <si>
    <t>HORTUM  TELLİ ŞEFAF 16 MM</t>
  </si>
  <si>
    <t>MKSF0099H021</t>
  </si>
  <si>
    <t>HORTUM  TELLİ ŞEFAF 25 MM</t>
  </si>
  <si>
    <t>MKSF0099H023</t>
  </si>
  <si>
    <t>HORTUM GAZ 10MM</t>
  </si>
  <si>
    <t>MKSF0099H084</t>
  </si>
  <si>
    <t>HORTUM GAZ 10MM KESİM</t>
  </si>
  <si>
    <t>MKSF0099H024</t>
  </si>
  <si>
    <t>HORTUM OKSİJEN KIRMIZI 10MM</t>
  </si>
  <si>
    <t>MKSF0099H025</t>
  </si>
  <si>
    <t>HORTUM OKSİJEN MAVİ 10MM</t>
  </si>
  <si>
    <t>MKSF0099H026</t>
  </si>
  <si>
    <t>HORTUM UCU 1 PARMAK SİYAH</t>
  </si>
  <si>
    <t>MKSF0099H027</t>
  </si>
  <si>
    <t>HORTUM UCU 1/2  PARMAK SİYAH</t>
  </si>
  <si>
    <t>KRXX0099H373</t>
  </si>
  <si>
    <t>KARAVAN CAM 450X900 SUGA</t>
  </si>
  <si>
    <t>MKTS0099H027</t>
  </si>
  <si>
    <t>KOLTUK  PSA TEKLİ</t>
  </si>
  <si>
    <t>MKTS0099H201</t>
  </si>
  <si>
    <t>LAVABO LAVANDA</t>
  </si>
  <si>
    <t>NMN446</t>
  </si>
  <si>
    <t>LILIE HİDROFOR 12V 10 Litre 2.1 Bar</t>
  </si>
  <si>
    <t>MKTS0099H082</t>
  </si>
  <si>
    <t>MAXİ TÜP 12KG GAZ REVİVA</t>
  </si>
  <si>
    <t>MKTS0099H083</t>
  </si>
  <si>
    <t>MAXİ TÜP ALTLIK REVİVA</t>
  </si>
  <si>
    <t>MKSF0099H031</t>
  </si>
  <si>
    <t>MAZOT HORTUMU</t>
  </si>
  <si>
    <t>MKSF0099H032</t>
  </si>
  <si>
    <t>MENFEZ KROM YUVARLAK 35X43</t>
  </si>
  <si>
    <t>MKTS0099H085</t>
  </si>
  <si>
    <t>MİNİ TÜP 2KG RXL,FRE,GLA</t>
  </si>
  <si>
    <t>MKTS0099H086</t>
  </si>
  <si>
    <t>MİNİ TÜP ALTLIK RXL,FRE,GLA</t>
  </si>
  <si>
    <t>MKXX0099H001</t>
  </si>
  <si>
    <t>MUSLUK  SOGUK-SICAK CIFT GOZ SIYAH</t>
  </si>
  <si>
    <t>MKTS0099H032</t>
  </si>
  <si>
    <t>MUSLUK  SOĞUK-SICAK ÇİFT GÖZ</t>
  </si>
  <si>
    <t>MKTS0099H033</t>
  </si>
  <si>
    <t>MUSLUK  SOĞUK-SICAK TEK GÖZ</t>
  </si>
  <si>
    <t>MKTS0099H202</t>
  </si>
  <si>
    <t>MUSLUK LAVANDA</t>
  </si>
  <si>
    <t>MKSF0099H033</t>
  </si>
  <si>
    <t>POLİETİLEN BURÇ BÜYÜK</t>
  </si>
  <si>
    <t>MKSF0099H034</t>
  </si>
  <si>
    <t>POLİETİLEN BURÇ KÜÇÜK</t>
  </si>
  <si>
    <t>MKTS0099H054</t>
  </si>
  <si>
    <t>POLİETİLEN TABAKA 8MM</t>
  </si>
  <si>
    <t>MKTS0099H178</t>
  </si>
  <si>
    <t>PSA GRUBU-DUŞ TAVASI-BAĞLANTI AYAK 01</t>
  </si>
  <si>
    <t>MKTS0099H179</t>
  </si>
  <si>
    <t>PSA GRUBU-DUŞ TAVASI-BAĞLANTI AYAK 02</t>
  </si>
  <si>
    <t>MKTS0099H180</t>
  </si>
  <si>
    <t>PSA GRUBU-DUŞ TAVASI-BAĞLANTI AYAK 03</t>
  </si>
  <si>
    <t>MKSF0099H050</t>
  </si>
  <si>
    <t>PSA GRUBU-KİRLİ SU DEPOSU-BAĞLANTI AYAĞI</t>
  </si>
  <si>
    <t>MKTS0099H188</t>
  </si>
  <si>
    <t>SANGYONG YÜKSELTME APARATI</t>
  </si>
  <si>
    <t>MKSF0099H035</t>
  </si>
  <si>
    <t>SARI 1/2 DEPO KOVANI</t>
  </si>
  <si>
    <t>MKSF0099H110</t>
  </si>
  <si>
    <t>SARI DİRSEK 1 1/2</t>
  </si>
  <si>
    <t>MKSF0099H038</t>
  </si>
  <si>
    <t>SARI DİRSEK 1/2</t>
  </si>
  <si>
    <t>MKSF0099H095</t>
  </si>
  <si>
    <t>SARI DİRSEK 3/4</t>
  </si>
  <si>
    <t>MKSF0099H097</t>
  </si>
  <si>
    <t>SARI DİRSEK 3/8</t>
  </si>
  <si>
    <t>MKSF0099H039</t>
  </si>
  <si>
    <t>SARI DİRSEK KUYRUKLU 1 PARMAK</t>
  </si>
  <si>
    <t>MKSF0099H037</t>
  </si>
  <si>
    <t>SARI HORTUM  TE 10 MM</t>
  </si>
  <si>
    <t>MKSF0099H043</t>
  </si>
  <si>
    <t>SARI KUYRUKLU DİRSEK 1/2</t>
  </si>
  <si>
    <t>MKSF0099H112</t>
  </si>
  <si>
    <t>SARI MANŞON 1 1/2</t>
  </si>
  <si>
    <t>MKSF0099H111</t>
  </si>
  <si>
    <t>SARI NİPEL 1 1/2</t>
  </si>
  <si>
    <t>MKSF0099H108</t>
  </si>
  <si>
    <t>SARI REKOR 1 1/2 40 mm</t>
  </si>
  <si>
    <t>MKSF0099H096</t>
  </si>
  <si>
    <t>SARI REKOR ERKEK 3/4 27 MM</t>
  </si>
  <si>
    <t>MKSF0099H099</t>
  </si>
  <si>
    <t>SARI REKOR ERKEK 3/8 10 MM</t>
  </si>
  <si>
    <t>MKSF0099H098</t>
  </si>
  <si>
    <t>SARI REKOR ERKEK 3/8 16 MM</t>
  </si>
  <si>
    <t>MKSF0099H105</t>
  </si>
  <si>
    <t>SICAK SU HORTUMU SİYAH KAUÇUK 19 MM</t>
  </si>
  <si>
    <t>MKTS0099H039</t>
  </si>
  <si>
    <t>SİNTİNE POMPASI 750 BASINC</t>
  </si>
  <si>
    <t>ATLS0099H018</t>
  </si>
  <si>
    <t>SİYAH PANO DOLAP KİLİDİ</t>
  </si>
  <si>
    <t>MKTS0099H147</t>
  </si>
  <si>
    <t>SU BASINÇ DÜŞÜRÜCÜ VALF PİSTONLU 1/2</t>
  </si>
  <si>
    <t>MKTS0099H203</t>
  </si>
  <si>
    <t>SU BİDONU BEYAZ 20 LT</t>
  </si>
  <si>
    <t>MKTS0099H204</t>
  </si>
  <si>
    <t>SU BİDONU GRİ 20 LT</t>
  </si>
  <si>
    <t>MKTS0099H190</t>
  </si>
  <si>
    <t>SU ISITICI 12V WERD 10L</t>
  </si>
  <si>
    <t>MKTS0099H222</t>
  </si>
  <si>
    <t>TAMSAN 1/4" ORİNGLİ KÖR TAPA</t>
  </si>
  <si>
    <t>MKTS0099H220</t>
  </si>
  <si>
    <t>TAMSAN 3 LÜ T</t>
  </si>
  <si>
    <t>MKTS0099H219</t>
  </si>
  <si>
    <t>TAMSAN 4 LÜ T WC BAĞLANTISI</t>
  </si>
  <si>
    <t>MKTS0099H243</t>
  </si>
  <si>
    <t>TAMSAN 50 CM TRUMA THERME HAVA ÇIKIŞI KIRMIZI</t>
  </si>
  <si>
    <t>MKTS0099H242</t>
  </si>
  <si>
    <t>TAMSAN 50 CM TRUMA THERME HAVA ÇIKIŞI MAVİ</t>
  </si>
  <si>
    <t>MKTS0099H244</t>
  </si>
  <si>
    <t>TAMSAN 50 CM TRUMA THERME SICAK SU ÇIKIŞ</t>
  </si>
  <si>
    <t>MKTS0099H238</t>
  </si>
  <si>
    <t>TAMSAN BASINÇ DÜŞÜRÜCÜ "T" ARASI ARA BAĞLANTI</t>
  </si>
  <si>
    <t>MKTS0099H216</t>
  </si>
  <si>
    <t>TAMSAN DIŞ DUŞ KIRMIZI HORTUM 40 CM</t>
  </si>
  <si>
    <t>MKTS0099H215</t>
  </si>
  <si>
    <t>TAMSAN DIŞ DUŞ MAVİ HORTUM 40 CM</t>
  </si>
  <si>
    <t>MKTS0099H241</t>
  </si>
  <si>
    <t>TAMSAN FROST CONTROL -TRUMA THERME ARASI HORTUM</t>
  </si>
  <si>
    <t>MKTS0099H226</t>
  </si>
  <si>
    <t>TAMSAN FROST KONTROL ERKEK VİDALI HORTUM NİPELİ</t>
  </si>
  <si>
    <t>MKTS0099H236</t>
  </si>
  <si>
    <t>TAMSAN HİDROFOR ÇIKIŞ HORTUMU HİDROFOR-BASINÇ DÜŞÜ</t>
  </si>
  <si>
    <t>MKTS0099H229</t>
  </si>
  <si>
    <t>TAMSAN HİDROFOR EMİŞ HORTUM BAĞLANTISI</t>
  </si>
  <si>
    <t>MKTS0099H228</t>
  </si>
  <si>
    <t>TAMSAN HİDROFOR EMİŞ HORTUM MAVİ 50 CM</t>
  </si>
  <si>
    <t>MKTS0099H247</t>
  </si>
  <si>
    <t>TAMSAN MUTFAK HORTUM KIRMIZI 170 CM</t>
  </si>
  <si>
    <t>MKTS0099H249</t>
  </si>
  <si>
    <t>TAMSAN MUTFAK HORTUM KIRMIZI 240 CM</t>
  </si>
  <si>
    <t>MKTS0099H246</t>
  </si>
  <si>
    <t>TAMSAN MUTFAK HORTUM MAVİ 170 CM</t>
  </si>
  <si>
    <t>MKTS0099H248</t>
  </si>
  <si>
    <t>TAMSAN MUTFAK HORTUM MAVİ 240 CM</t>
  </si>
  <si>
    <t>MKTS0099H239</t>
  </si>
  <si>
    <t>TAMSAN ORTAK SOĞUK SU ÇIKIŞ HORTUMU 70 CM</t>
  </si>
  <si>
    <t>MKTS0099H232</t>
  </si>
  <si>
    <t>TAMSAN PİS SU TANKI 25 ÇAP HORTUM NİPELİ</t>
  </si>
  <si>
    <t>MKTS0099H212</t>
  </si>
  <si>
    <t>TAMSAN SİNTİNE ÇIKIŞ ARKASI HORTUMU MAVİ 130 CM</t>
  </si>
  <si>
    <t>MKTS0099H214</t>
  </si>
  <si>
    <t>TAMSAN SİNTİNE ÇIKIŞ-PİS SU TANKI 1/2" DİRSEK</t>
  </si>
  <si>
    <t>MKTS0099H213</t>
  </si>
  <si>
    <t>TAMSAN SİNTİNE ÇIKIŞ-PİS SU TANKI ARASI 1/2" PANEL</t>
  </si>
  <si>
    <t>MKTS0099H221</t>
  </si>
  <si>
    <t>TAMSAN T BAĞLANTI NİPELLERİ</t>
  </si>
  <si>
    <t>MKTS0099H240</t>
  </si>
  <si>
    <t>TAMSAN T BAĞLANTI-FROST ARA BAĞLANTI NİPELİ</t>
  </si>
  <si>
    <t>MKTS0099H217</t>
  </si>
  <si>
    <t>TAMSAN T-T BAĞLANTI KIRMIZI 270CM</t>
  </si>
  <si>
    <t>MKTS0099H218</t>
  </si>
  <si>
    <t>TAMSAN T-T BAĞLANTI MAVİ 270CM</t>
  </si>
  <si>
    <t>MKTS0099H224</t>
  </si>
  <si>
    <t>TAMSAN TEMİZ SU TANKI 1" DİRSEK</t>
  </si>
  <si>
    <t>MKTS0099H223</t>
  </si>
  <si>
    <t>TAMSAN TEMİZ SU TANKI 1" PANEL GEÇİŞ</t>
  </si>
  <si>
    <t>MKTS0099H225</t>
  </si>
  <si>
    <t>TAMSAN TEMİZ SU TANKI 38 ÇAP HORTUM NİPELİ</t>
  </si>
  <si>
    <t>MKTS0099H233</t>
  </si>
  <si>
    <t>TAMSAN TEMİZ VE PİS SU TANKI 90 DERECE HAVA ÇIKIŞ</t>
  </si>
  <si>
    <t>MKTS0099H009</t>
  </si>
  <si>
    <t>THERME SU ISITICI (220 V) 5LT</t>
  </si>
  <si>
    <t>MKSF0099H048</t>
  </si>
  <si>
    <t>TİJ M10 PASLANMAZ</t>
  </si>
  <si>
    <t>MKSF0099H102</t>
  </si>
  <si>
    <t>U-PVC DIŞ DİŞLİ HORTUM ADAPTÖR ÇAP 50</t>
  </si>
  <si>
    <t>MKXX0099H004</t>
  </si>
  <si>
    <t>YENI PROJE CADIR SASE MENTESESI</t>
  </si>
  <si>
    <t>MKXX0099H003</t>
  </si>
  <si>
    <t>YENI PROJE CADIR SASESI</t>
  </si>
  <si>
    <t>MOBILYA</t>
  </si>
  <si>
    <t>MBAP1039H067</t>
  </si>
  <si>
    <t>ASD LAMİNAT 1039 PRL\KREM 1300x3050x0,7</t>
  </si>
  <si>
    <t>MBAP3080H069</t>
  </si>
  <si>
    <t>ASD LAMİNAT 3080 BTE/FUJİ 1300x100000Rx0,6</t>
  </si>
  <si>
    <t>MBAP3080H070</t>
  </si>
  <si>
    <t>ASD LAMİNAT 3080 PARLAK/FUJİ 1300x100000Rx0,6</t>
  </si>
  <si>
    <t>MBAP6004H064</t>
  </si>
  <si>
    <t>ASD LAMİNAT 6004 MET\ METALİK 1300x3050x0,5</t>
  </si>
  <si>
    <t>MBAP6008H065</t>
  </si>
  <si>
    <t>ASD LAMİNAT 6008 MET\BAKIR 1300x3050x0,7</t>
  </si>
  <si>
    <t>NMN469</t>
  </si>
  <si>
    <t>COK AMACLI ORGANIZATOR SMILESEPET</t>
  </si>
  <si>
    <t>MBAP0099H071</t>
  </si>
  <si>
    <t>KAVAK MARIN KONTRPLAK CIZGILI ALMAN MESE 6MM</t>
  </si>
  <si>
    <t>MBAP0099H072</t>
  </si>
  <si>
    <t>KAVAK MARIN KONTRPLAK CIZGILI ALMAN MESE 9MM</t>
  </si>
  <si>
    <t>MBAP0099H018</t>
  </si>
  <si>
    <t>KERESTE DEK LADİN</t>
  </si>
  <si>
    <t>MBAP1001H063</t>
  </si>
  <si>
    <t>KOMPAKT LAMINAT ANTRASİT 3,05X1,30 06MM</t>
  </si>
  <si>
    <t>MBAP0099H019</t>
  </si>
  <si>
    <t>KONTRA FALCATA 12 MM 122X250</t>
  </si>
  <si>
    <t>MBAP0099H068</t>
  </si>
  <si>
    <t>KONTRA HUS 12MM</t>
  </si>
  <si>
    <t>MBAP0099H077</t>
  </si>
  <si>
    <t>KONTRA HUS 18MM</t>
  </si>
  <si>
    <t>MBAP0099H078</t>
  </si>
  <si>
    <t>KONTRA HUS 9MM</t>
  </si>
  <si>
    <t>MBAP0099H006</t>
  </si>
  <si>
    <t>KONTRA KAVAK 12 MM-170X220</t>
  </si>
  <si>
    <t>MBAP0099H007</t>
  </si>
  <si>
    <t>KONTRA KAVAK 15 MM-170X220</t>
  </si>
  <si>
    <t>MBAP0099H009</t>
  </si>
  <si>
    <t>KONTRA KAVAK 4 MM-170X220</t>
  </si>
  <si>
    <t>MBAP0099H010</t>
  </si>
  <si>
    <t>KONTRA KAVAK 8 MM-170X220</t>
  </si>
  <si>
    <t>MBAP0099H011</t>
  </si>
  <si>
    <t>KONTRA KAVAK ESNEK 4 MM-122X244 SUYUNA</t>
  </si>
  <si>
    <t>MBAP0099H059</t>
  </si>
  <si>
    <t>KONTRA KAVAK ESNEK SUYUNA 3 MM-125X250</t>
  </si>
  <si>
    <t>MBAP0099H013</t>
  </si>
  <si>
    <t>KONTRA KAYIN 4 MM-170X220</t>
  </si>
  <si>
    <t>MBAP0099H025</t>
  </si>
  <si>
    <t>KONTRA MDF HAM 12 MM</t>
  </si>
  <si>
    <t>MBAP0099H052</t>
  </si>
  <si>
    <t>KONTRA MDF HAM 18 MM</t>
  </si>
  <si>
    <t>MBAP0099H016</t>
  </si>
  <si>
    <t>KONTRA MDF LAM 12 MM</t>
  </si>
  <si>
    <t>MBAP0099H051</t>
  </si>
  <si>
    <t>KONTRA MDF LAM 18 MM BEYAZ</t>
  </si>
  <si>
    <t>MBAP0099H015</t>
  </si>
  <si>
    <t>KONTRA MDF LAM 18 MM SİYAH</t>
  </si>
  <si>
    <t>MBAP0099H073</t>
  </si>
  <si>
    <t>LAMINAT CIZGILI ALMAN MESE 0,06MM</t>
  </si>
  <si>
    <t>MBAP0099H017</t>
  </si>
  <si>
    <t>LAMİNANT PLAKA HIGH GLASS 3103 PARLAK</t>
  </si>
  <si>
    <t>MBAP1001H018</t>
  </si>
  <si>
    <t>LAMİNANT RULO 1001 ANTRASİT</t>
  </si>
  <si>
    <t>MBAP1049H058</t>
  </si>
  <si>
    <t>LAMİNANT RULO 1049 BUTE SİYAH</t>
  </si>
  <si>
    <t>MBAP1091H020</t>
  </si>
  <si>
    <t>LAMİNANT RULO 1091 HAKİ</t>
  </si>
  <si>
    <t>MBAP1098H021</t>
  </si>
  <si>
    <t>LAMİNANT RULO 1098 MANDALİN</t>
  </si>
  <si>
    <t>MBAP3103H023</t>
  </si>
  <si>
    <t>LAMİNANT RULO 3103 ULTRA WHİTE DOĞAL</t>
  </si>
  <si>
    <t>MBAP4236H027</t>
  </si>
  <si>
    <t>LAMİNANT RULO 3204 YENİ MEŞE</t>
  </si>
  <si>
    <t>MBAP1076H019</t>
  </si>
  <si>
    <t>LAMİNANT RULO PARKE DESEN 3197</t>
  </si>
  <si>
    <t>MBAP0099H024</t>
  </si>
  <si>
    <t>LİMBA KERESTE 52*15*455</t>
  </si>
  <si>
    <t>MBAP0099H070</t>
  </si>
  <si>
    <t>MINEFLO ZEMIN KAPLAMA MEDIUM GREY CEMENT</t>
  </si>
  <si>
    <t>MBAP0099H045</t>
  </si>
  <si>
    <t>MİNEFLO ZEMİN KAPLAMA ANTRASİT FORBO ETERNAL</t>
  </si>
  <si>
    <t>MBSF0099H011</t>
  </si>
  <si>
    <t>MİNEFLO ZEMİN KAPLAMA FORBO SPHERA WHITE</t>
  </si>
  <si>
    <t>MBAP0099H003</t>
  </si>
  <si>
    <t>MİNEFLO ZEMİN KAPLAMA FORBO WOOD 13412</t>
  </si>
  <si>
    <t>MBAP0099H076</t>
  </si>
  <si>
    <t>MİNEFLO ZEMİN KAPLAMA SOLIDE GRI</t>
  </si>
  <si>
    <t>MBSF0099H010</t>
  </si>
  <si>
    <t>PROTEBIL WRP BEYAZ AHSAP TUTKALI</t>
  </si>
  <si>
    <t>MBSF0099H009</t>
  </si>
  <si>
    <t>PROTEBİL WRP BEYAZ AHŞAP TUTKALI</t>
  </si>
  <si>
    <t>MBAP0099H034</t>
  </si>
  <si>
    <t>PVC BANT 22*080 BEYAZ PARLAK 5667</t>
  </si>
  <si>
    <t>MBAP0099H032</t>
  </si>
  <si>
    <t>PVC BANT 22X0,80 ANTRASİT 5024 ROMA MARKA 22X0,80</t>
  </si>
  <si>
    <t>MBAP0099H075</t>
  </si>
  <si>
    <t>PVC BANT 22X0,80 ANTRASİT PARLAK</t>
  </si>
  <si>
    <t>MBAP7104H068</t>
  </si>
  <si>
    <t>PVC BANT 22X08 7104 WENGE</t>
  </si>
  <si>
    <t>MBAP0099H065</t>
  </si>
  <si>
    <t>PVC BANT 40X08 7104 WENGE 3080 MAT</t>
  </si>
  <si>
    <t>MBAP0099H074</t>
  </si>
  <si>
    <t>PVC BANT ANTRASİT 1752 ROMA 22X0,80</t>
  </si>
  <si>
    <t>MBAP0099H061</t>
  </si>
  <si>
    <t>PVC BANT ANTRASİT 5024 ROMA MARKA 40X0,80</t>
  </si>
  <si>
    <t>MBAP0099H042</t>
  </si>
  <si>
    <t>PVC BANT MEŞE 22MM TORTANA</t>
  </si>
  <si>
    <t>MBAP0099H049</t>
  </si>
  <si>
    <t>PVC BANT MEŞE 40MM TORTANA</t>
  </si>
  <si>
    <t>MBSF0099H013</t>
  </si>
  <si>
    <t>PVC DÜZ KENAR BONCUK TUTKAL</t>
  </si>
  <si>
    <t>MBSF0099H006</t>
  </si>
  <si>
    <t>PVC YAPIŞTIRICI</t>
  </si>
  <si>
    <t>MBAP0099H069</t>
  </si>
  <si>
    <t>TEAK  ZEMIN KAPLAMA-KAHVE SİYAH DERZ</t>
  </si>
  <si>
    <t>MBSF0099H007</t>
  </si>
  <si>
    <t>WÜRTH BEYAZ AHSAP TUTKALI</t>
  </si>
  <si>
    <t>MBSF0099H012</t>
  </si>
  <si>
    <t>WÜRTH KORUYUCU MUM ŞEFFAF</t>
  </si>
  <si>
    <t>YEDEK PARCA</t>
  </si>
  <si>
    <t>PRC018</t>
  </si>
  <si>
    <t>ARAÇ ÜSTÜ ÇADIR KUMAŞI</t>
  </si>
  <si>
    <t>PRC019</t>
  </si>
  <si>
    <t>EBERSPACHER EGZOZ  SUSTURUCU</t>
  </si>
  <si>
    <t>PRC020</t>
  </si>
  <si>
    <t>EBERSPACHER EGZOZ KELEPÇESİ 26-28 MM</t>
  </si>
  <si>
    <t>PRC023</t>
  </si>
  <si>
    <t>ELEKTRONIK KART BOILER B10</t>
  </si>
  <si>
    <t>PRC021</t>
  </si>
  <si>
    <t>GESON KARAVAN CAM YEDEK PARÇA</t>
  </si>
  <si>
    <t>PRC016</t>
  </si>
  <si>
    <t>GLADİATÖR KALIN LASTİK ARA APARAT</t>
  </si>
  <si>
    <t>PRC017</t>
  </si>
  <si>
    <t>INDEL BI BUZDOLABI KULP</t>
  </si>
  <si>
    <t>PRC015</t>
  </si>
  <si>
    <t>KARAVAN KAPI MENTESESI</t>
  </si>
  <si>
    <t>PRC013</t>
  </si>
  <si>
    <t>M5 GALVANİZ BAKALİT SOMUN</t>
  </si>
  <si>
    <t>PRC012</t>
  </si>
  <si>
    <t>M5X30 GALVANİZ BAKALİT VİDA</t>
  </si>
  <si>
    <t>PRC011</t>
  </si>
  <si>
    <t>M6X20 PASLANMAZ BAKALİT VİDA</t>
  </si>
  <si>
    <t>PRC022</t>
  </si>
  <si>
    <t>SR08329  NAVY LOAD OCAK YEDEK CAM</t>
  </si>
  <si>
    <t>PRC014</t>
  </si>
  <si>
    <t>STOR TENTE SİYAH PLASTİK SOMUN APARATI</t>
  </si>
  <si>
    <t>▶  E-TICARET</t>
  </si>
  <si>
    <t>E-TICARET</t>
  </si>
  <si>
    <t>ETICARET</t>
  </si>
  <si>
    <t>ECTURB100050</t>
  </si>
  <si>
    <t>45x100x70 KRAFT KOLİ</t>
  </si>
  <si>
    <t>ECTURB100049</t>
  </si>
  <si>
    <t>50X45X45 KRAFT KOLİ</t>
  </si>
  <si>
    <t>ORCAMP149</t>
  </si>
  <si>
    <t>6 KANATLI RÜZGARLIK 30X12 CM</t>
  </si>
  <si>
    <t>ECTURB100048</t>
  </si>
  <si>
    <t>80X40X50 KRAFT KOLİ</t>
  </si>
  <si>
    <t>ETTOF100000-M</t>
  </si>
  <si>
    <t>Açık Mavi İp</t>
  </si>
  <si>
    <t>A2022X1059</t>
  </si>
  <si>
    <t>ATEŞ ÜSTÜ IZGARA + ÇANTA</t>
  </si>
  <si>
    <t>ORCAMP148</t>
  </si>
  <si>
    <t>ATEŞ ÜSTÜ IZGARA MAXİ 55X30X22 CM</t>
  </si>
  <si>
    <t>A2025X038</t>
  </si>
  <si>
    <t>ATEŞ ÜSTÜ IZGARA MİNİ + ÇANTA</t>
  </si>
  <si>
    <t>ORCAMP093</t>
  </si>
  <si>
    <t>Ayaklı Kavurma Sacı Taşıma Çantalı</t>
  </si>
  <si>
    <t>ECTWLD100035</t>
  </si>
  <si>
    <t>Bamboo Table</t>
  </si>
  <si>
    <t>ORCAMP101</t>
  </si>
  <si>
    <t>Barista Kahve Ibriği</t>
  </si>
  <si>
    <t>ETTOF100000-BKA</t>
  </si>
  <si>
    <t>Bordo Kahve İp</t>
  </si>
  <si>
    <t>ETTIMP100002</t>
  </si>
  <si>
    <t>BURİ BAHARATLIK</t>
  </si>
  <si>
    <t>ETTIMP100003</t>
  </si>
  <si>
    <t>BURİ YAĞDANLIK</t>
  </si>
  <si>
    <t>ECTWLD100028</t>
  </si>
  <si>
    <t>Bush Cruiser V2 Pro</t>
  </si>
  <si>
    <t>ECTWLD100040</t>
  </si>
  <si>
    <t>Camping Hanging Tripod Rack</t>
  </si>
  <si>
    <t>A2021X98</t>
  </si>
  <si>
    <t>CAMPOUT 6 KİŞİLİK PİKNİK SETİ</t>
  </si>
  <si>
    <t>A2021X73</t>
  </si>
  <si>
    <t>CAMPOUT ALÜMİNYUM KAMP MASASI</t>
  </si>
  <si>
    <t>A2021X74</t>
  </si>
  <si>
    <t>CAMPOUT ALÜMİNYUM KAMP MASASI BÜYÜK</t>
  </si>
  <si>
    <t>A2021X83</t>
  </si>
  <si>
    <t>CAMPOUT ALÜMİNYUM KAMP MASASI XXL</t>
  </si>
  <si>
    <t>A2025X147</t>
  </si>
  <si>
    <t>Campout Balta, Büyük</t>
  </si>
  <si>
    <t>A2025X151</t>
  </si>
  <si>
    <t>Campout Balta, Küçük</t>
  </si>
  <si>
    <t>A2021X32</t>
  </si>
  <si>
    <t>Campout Büyük Balta</t>
  </si>
  <si>
    <t>A2021X195</t>
  </si>
  <si>
    <t>CAMPOUT ÇAY KAHVE TERMOSU</t>
  </si>
  <si>
    <t>A2021X215</t>
  </si>
  <si>
    <t>CAMPOUT ÇELİK ÇAKI ALPTUĞ</t>
  </si>
  <si>
    <t>A2021X214</t>
  </si>
  <si>
    <t>CAMPOUT ÇELİK ÇAKI GÖKTUĞ</t>
  </si>
  <si>
    <t>A2021X194</t>
  </si>
  <si>
    <t>CAMPOUT ÇİFT KATMANLI TERMOS 1000 ML</t>
  </si>
  <si>
    <t>A2021X100</t>
  </si>
  <si>
    <t>CAMPOUT ÇİFT KATMANLI TERMOS 2000 ML</t>
  </si>
  <si>
    <t>A2022X1034</t>
  </si>
  <si>
    <t>Campout Çift Katmanlı Termos Kupa</t>
  </si>
  <si>
    <t>A2021X191</t>
  </si>
  <si>
    <t>CAMPOUT DANA DERİSİ ELDİVEN</t>
  </si>
  <si>
    <t>A2021X204</t>
  </si>
  <si>
    <t>CAMPOUT DERİ BALTA ASKISI</t>
  </si>
  <si>
    <t>A2021X365</t>
  </si>
  <si>
    <t>Campout Emniyetli Odun Yarma Aparatı</t>
  </si>
  <si>
    <t>A2021X108</t>
  </si>
  <si>
    <t>Campout Espresso Mocha Pot 6 Bardak</t>
  </si>
  <si>
    <t>A2021X103</t>
  </si>
  <si>
    <t>CAMPOUT ESPRESSO MOCHA POT 9 BARDAK</t>
  </si>
  <si>
    <t>A2021X363</t>
  </si>
  <si>
    <t>Campout Gala Sandalye</t>
  </si>
  <si>
    <t>A2021X193</t>
  </si>
  <si>
    <t>CAMPOUT HİJYENİK MATARA</t>
  </si>
  <si>
    <t>A2022X1051</t>
  </si>
  <si>
    <t>Campout Inox Paslanmaz Ateş Kutusu</t>
  </si>
  <si>
    <t>A2025X075</t>
  </si>
  <si>
    <t>CAMPOUT Kamp Çantası Isı Muhafazalı Büyük</t>
  </si>
  <si>
    <t>A2021X134</t>
  </si>
  <si>
    <t>CAMPOUT KAMP ÇAYDANLİĞİ</t>
  </si>
  <si>
    <t>A2021X79</t>
  </si>
  <si>
    <t>CAMPOUT KAMP DUŞU 20 LT</t>
  </si>
  <si>
    <t>A2021X203</t>
  </si>
  <si>
    <t>CAMPOUT KAMP SEYAHAT ÇANTASI</t>
  </si>
  <si>
    <t>A2025X192</t>
  </si>
  <si>
    <t>Campout Katlanır Ahşap Masa</t>
  </si>
  <si>
    <t>A2021X46</t>
  </si>
  <si>
    <t>CAMPOUT KATLANIR KAMP MASASI</t>
  </si>
  <si>
    <t>A2021X84</t>
  </si>
  <si>
    <t>CAMPOUT KATLANIR LÜX SANDALYE</t>
  </si>
  <si>
    <t>A2021X64</t>
  </si>
  <si>
    <t>CAMPOUT KATLANIR MANGAL</t>
  </si>
  <si>
    <t>A2021X262</t>
  </si>
  <si>
    <t>CAMPOUT KİŞİSEL BAKIM ÇANTASI</t>
  </si>
  <si>
    <t>A2021X262M</t>
  </si>
  <si>
    <t>CAMPOUT KİŞİSEL BAKIM ÇANTASI MAVİ</t>
  </si>
  <si>
    <t>A2021X155</t>
  </si>
  <si>
    <t>CAMPOUT LÜX SANDALYE ÇANTA</t>
  </si>
  <si>
    <t>A2021X240</t>
  </si>
  <si>
    <t>CAMPOUT MERCURY 1 BUSHCRAFT ÇADIR</t>
  </si>
  <si>
    <t>A2021X105</t>
  </si>
  <si>
    <t>CAMPOUT MOGAN SALDALYE</t>
  </si>
  <si>
    <t>CAMPOUT001</t>
  </si>
  <si>
    <t>CAMPOUT NEPTUNE 3 KAMP ÇADIRI HAKİ (KREM)</t>
  </si>
  <si>
    <t>ORCAMP275</t>
  </si>
  <si>
    <t>Campout Orcamp 5 Gözlü Granit Tava</t>
  </si>
  <si>
    <t>ORCAMP256</t>
  </si>
  <si>
    <t>Campout Orcamp 600 Mililitre Termos</t>
  </si>
  <si>
    <t>ORCAMP249</t>
  </si>
  <si>
    <t>Campout Orcamp Lüks Kampet 190X63X40 Santimetre</t>
  </si>
  <si>
    <t>ORCAMP262</t>
  </si>
  <si>
    <t>Campout Orcamp Multi 750 Mini Fener</t>
  </si>
  <si>
    <t>ORCAMP283</t>
  </si>
  <si>
    <t>Campout Orcamp Nomad 700 Kafa Feneri, Siyah</t>
  </si>
  <si>
    <t>ORCAMP290</t>
  </si>
  <si>
    <t>Campout Orcamp Nomad 800 Kafa Feneri, Mavi</t>
  </si>
  <si>
    <t>ORCAMP244</t>
  </si>
  <si>
    <t>Campout Orcamp Piknik Örtüsü Lacivert</t>
  </si>
  <si>
    <t>ORCAMP295</t>
  </si>
  <si>
    <t>Campout Orcamp Soho Tumbler Termos 1000 mililitre</t>
  </si>
  <si>
    <t>ORCAMP258</t>
  </si>
  <si>
    <t>Campout Orcamp Worky 2500 Katlanır Çalışma Feneri</t>
  </si>
  <si>
    <t>ORCAMP299</t>
  </si>
  <si>
    <t>Campout Orcamp Yoda 850 Çalışma Feneri, Turuncu, G</t>
  </si>
  <si>
    <t>ORCAMP263</t>
  </si>
  <si>
    <t>Campout Orcamp Zippy 30 Mini Fener, Mavi</t>
  </si>
  <si>
    <t>A2021X258</t>
  </si>
  <si>
    <t>CAMPOUT ORMAN MUTFAĞI</t>
  </si>
  <si>
    <t>A2022X1006</t>
  </si>
  <si>
    <t>Campout Pergamon Ocak</t>
  </si>
  <si>
    <t>A2021X85</t>
  </si>
  <si>
    <t>CAMPOUT PRATİK KAMP SANDALYESİ</t>
  </si>
  <si>
    <t>A2021X183</t>
  </si>
  <si>
    <t>CAMPOUT SAPAN</t>
  </si>
  <si>
    <t>A2024X001</t>
  </si>
  <si>
    <t>CAMPOUT TEK KİŞİLİK UYKU TULUMU</t>
  </si>
  <si>
    <t>A2021X1371</t>
  </si>
  <si>
    <t>Campout Tost Makinesi</t>
  </si>
  <si>
    <t>A2022X1004</t>
  </si>
  <si>
    <t>Campout Troya Ocak</t>
  </si>
  <si>
    <t>A2021X187</t>
  </si>
  <si>
    <t>Campout Turbo Ateş Kutusu Büyük</t>
  </si>
  <si>
    <t>A2021X166</t>
  </si>
  <si>
    <t>CAMPOUT ULTRALIGHT MASA</t>
  </si>
  <si>
    <t>A2021X1372</t>
  </si>
  <si>
    <t>CAMPOUT WINTER COMFORT UYKU TULUMU</t>
  </si>
  <si>
    <t>ECTWLD100034</t>
  </si>
  <si>
    <t>Canvas Chair Plus</t>
  </si>
  <si>
    <t>ECTWLD100032</t>
  </si>
  <si>
    <t>Changing Room</t>
  </si>
  <si>
    <t>A2021X56H</t>
  </si>
  <si>
    <t>Cibinlikli Hamak Haki</t>
  </si>
  <si>
    <t>A2021X56Y</t>
  </si>
  <si>
    <t>Cibinlikli Hamak Yeşil</t>
  </si>
  <si>
    <t>A2021X21</t>
  </si>
  <si>
    <t>ÇİFT KATMANLI KUPA</t>
  </si>
  <si>
    <t>A2021X18</t>
  </si>
  <si>
    <t>ÇİFT KATMANLI KUPA KARABİNALI</t>
  </si>
  <si>
    <t>ORCAMP091</t>
  </si>
  <si>
    <t>Çift Katmanli%100 304 Kalite Çelik Vakumlu Termos</t>
  </si>
  <si>
    <t>A2021X249</t>
  </si>
  <si>
    <t>ÇİFT KİŞİLİK UYKU TULUMU</t>
  </si>
  <si>
    <t>ORCAMP038</t>
  </si>
  <si>
    <t>Çift Tarafli Granit Gril Izgara Tava</t>
  </si>
  <si>
    <t>A2025X043</t>
  </si>
  <si>
    <t>Dalyan Nurgaz Filtre Kahve Aparatı NG N057-K</t>
  </si>
  <si>
    <t>A2021X168</t>
  </si>
  <si>
    <t>DERİ BAKIM KREMİ</t>
  </si>
  <si>
    <t>A2021X144</t>
  </si>
  <si>
    <t>DERİ BALTA KILIFI KÜÇÜK KOYU KAHVERENGİ</t>
  </si>
  <si>
    <t>ETTIMP100005</t>
  </si>
  <si>
    <t>DERİ KARTUŞ KILIFI 230 GR</t>
  </si>
  <si>
    <t>ETTIMP100006</t>
  </si>
  <si>
    <t>DERİ KARTUŞ KILIFI 450 GR</t>
  </si>
  <si>
    <t>ETTIMP100004</t>
  </si>
  <si>
    <t>DERİ KARTUŞ KILIFI 80 GR</t>
  </si>
  <si>
    <t>ORCAMP150</t>
  </si>
  <si>
    <t>DOGA SOMINESI BUYUK 34 CM</t>
  </si>
  <si>
    <t>TRINT100317</t>
  </si>
  <si>
    <t>Dunny Dive M2068G Fullface Silikon Maske Şnorkel L</t>
  </si>
  <si>
    <t>TRINT100316</t>
  </si>
  <si>
    <t>Dunny Dive M2068G Fullface Silikon Maske Şnorkel S</t>
  </si>
  <si>
    <t>ORCAMP067</t>
  </si>
  <si>
    <t>El Yapımı Kamp Balta</t>
  </si>
  <si>
    <t>A2021X369</t>
  </si>
  <si>
    <t>Emaye Kupa Beyaz Bear</t>
  </si>
  <si>
    <t>A2021X174</t>
  </si>
  <si>
    <t>EMAYE KUPA BEYAZ ÇADIR</t>
  </si>
  <si>
    <t>A2021X175</t>
  </si>
  <si>
    <t>EMAYE KUPA BEYAZ DOĞA</t>
  </si>
  <si>
    <t>A2021X176</t>
  </si>
  <si>
    <t>EMAYE KUPA BEYAZ KAMP</t>
  </si>
  <si>
    <t>A2021X371</t>
  </si>
  <si>
    <t>Emaye Kupa Haki</t>
  </si>
  <si>
    <t>A2021X373</t>
  </si>
  <si>
    <t>Emaye Kupa Krem</t>
  </si>
  <si>
    <t>TRINT100162</t>
  </si>
  <si>
    <t>EXPLORER 300 BOT SET (186 KG) 211x117x41Cm</t>
  </si>
  <si>
    <t>TRINT100021</t>
  </si>
  <si>
    <t>EXPLORER BOT 200 (95) 185x94x41CM</t>
  </si>
  <si>
    <t>ECTWLD100036</t>
  </si>
  <si>
    <t>Feather Sleeping Bag</t>
  </si>
  <si>
    <t>A2021X186</t>
  </si>
  <si>
    <t>FİLTRE KAHVE DEMLİĞİ</t>
  </si>
  <si>
    <t>FNKY0099H001</t>
  </si>
  <si>
    <t>FUNKY CHAIRS KATLANABİLİR PORTATİF KAMP MUTFAĞI</t>
  </si>
  <si>
    <t>A2021X96</t>
  </si>
  <si>
    <t>GRANİT DÖKÜM TAVA 5 GÖZLÜ</t>
  </si>
  <si>
    <t>A2021X92</t>
  </si>
  <si>
    <t>GRANİT DÖKÜM TENCERE 28 CM</t>
  </si>
  <si>
    <t>ETTOF100000-GS</t>
  </si>
  <si>
    <t>Gri Siyah İp</t>
  </si>
  <si>
    <t>ETTOF100000-H</t>
  </si>
  <si>
    <t>Haki İp</t>
  </si>
  <si>
    <t>A2021X114</t>
  </si>
  <si>
    <t>HAMBURGER PRESS ALÜMİNYUM</t>
  </si>
  <si>
    <t>ECTWLD100030</t>
  </si>
  <si>
    <t>Hub Screen House 400</t>
  </si>
  <si>
    <t>ECTWLD100031</t>
  </si>
  <si>
    <t>Hub Screen House 600 Lux</t>
  </si>
  <si>
    <t>TRINT100080</t>
  </si>
  <si>
    <t>Intek 64763 Kamp Yatağı 152x203 cm</t>
  </si>
  <si>
    <t>TRINT100076</t>
  </si>
  <si>
    <t>Intek 64779 Prestij Kamp Yatağı 152x203 cm +Pilli</t>
  </si>
  <si>
    <t>TRINT100176</t>
  </si>
  <si>
    <t>Intex 4RENK YUMUSAK TAB.5GEN HAVUZ 185x180x53CM -</t>
  </si>
  <si>
    <t>TRINT100184</t>
  </si>
  <si>
    <t>Intex 56588 Oturaklı Simit 76 cm</t>
  </si>
  <si>
    <t>TRINT100009</t>
  </si>
  <si>
    <t>Intex 56822 Havuz Tipi Bar</t>
  </si>
  <si>
    <t>TRINT100053</t>
  </si>
  <si>
    <t>Intex 57141 Gökkuşağı Gölgelikli Havuz 142 cm</t>
  </si>
  <si>
    <t>TRINT100179</t>
  </si>
  <si>
    <t>Intex 57525 Gerçekçi Köpekbalığı 173 cm</t>
  </si>
  <si>
    <t>TRINT100083</t>
  </si>
  <si>
    <t>Intex 57536 Su Tabancalı Uçak 117 cm</t>
  </si>
  <si>
    <t>TRINT100151</t>
  </si>
  <si>
    <t>Intex 58165 Renkli Desenli Sorf 112 cm</t>
  </si>
  <si>
    <t>TRINT100161</t>
  </si>
  <si>
    <t>Intex 58331 Explorer 200 Bot+Kürek+Pompa Set 185 c</t>
  </si>
  <si>
    <t>TRINT100156</t>
  </si>
  <si>
    <t>Intex 59230 Sevimli Desenli Simit 51 cm</t>
  </si>
  <si>
    <t>TRINT100013</t>
  </si>
  <si>
    <t>Intex 59421 Şeffaf Meyve Desenli Havuz 2 Bölme 122</t>
  </si>
  <si>
    <t>TRINT100171</t>
  </si>
  <si>
    <t>Intex 59469 Tropikal Meyve Desenli Havuz Seti 132</t>
  </si>
  <si>
    <t>TRINT100212</t>
  </si>
  <si>
    <t>Intex 59894 Şeffaf Pencereli Bardaklı Yatak 188 cm</t>
  </si>
  <si>
    <t>TRINT100074</t>
  </si>
  <si>
    <t>Intex 64109 Prestij Kamp Yatağı 125x203 cm</t>
  </si>
  <si>
    <t>TRINT100214</t>
  </si>
  <si>
    <t>Intex 68324 Excursion Boat+Kürek+Pompa Set 315 cm</t>
  </si>
  <si>
    <t>TRINT100215</t>
  </si>
  <si>
    <t>Intex 68325 Excursion Boat+Kürak+Pompa Set 366 cm</t>
  </si>
  <si>
    <t>TRINT100035</t>
  </si>
  <si>
    <t>Intex 68605 Çift Fonksiyon Pompa 37 cm</t>
  </si>
  <si>
    <t>TRINT100219</t>
  </si>
  <si>
    <t>Intex 68612 Çift Fonksiyon Pompa 29 cm</t>
  </si>
  <si>
    <t>TRINT100218</t>
  </si>
  <si>
    <t>Intex 69611 Çift Fonksiyon Ayak Pompa 28 cm</t>
  </si>
  <si>
    <t>TRINT100221</t>
  </si>
  <si>
    <t>Intex Kutulu 48 cm Pompa</t>
  </si>
  <si>
    <t>TRINT100033</t>
  </si>
  <si>
    <t>Intex Surf Rider i.12</t>
  </si>
  <si>
    <t>TRINT100194</t>
  </si>
  <si>
    <t>Intex Vakumlu Sporcu Yüzücü Gözlüğü (8+</t>
  </si>
  <si>
    <t>A2021X139</t>
  </si>
  <si>
    <t>KABLO VE ELEKTROİK EŞYA ÇANTASI</t>
  </si>
  <si>
    <t>ORCAMP040</t>
  </si>
  <si>
    <t>Kamp Baltası</t>
  </si>
  <si>
    <t>A2021X50</t>
  </si>
  <si>
    <t>KAMP ÇANTASI</t>
  </si>
  <si>
    <t>ORCAMP060-M</t>
  </si>
  <si>
    <t>Kamp Çatal Kaşık Bıçak Seti</t>
  </si>
  <si>
    <t>ORCAMP138</t>
  </si>
  <si>
    <t>KAMP ÇAYDANLIĞI (1.40 LT.)</t>
  </si>
  <si>
    <t>ORCAMP246</t>
  </si>
  <si>
    <t>A2021X30</t>
  </si>
  <si>
    <t>KAMP LAMBASI</t>
  </si>
  <si>
    <t>ORCAMP125</t>
  </si>
  <si>
    <t>KARAVAN VE TEKNE KAMP GENİŞ PİKNİK TÜPÜ DEDANTÖRÜ</t>
  </si>
  <si>
    <t>ORCAMP006</t>
  </si>
  <si>
    <t>Katlanabilir Mangal</t>
  </si>
  <si>
    <t>ORCAMP154</t>
  </si>
  <si>
    <t>KATLANABİLİR METAL KÜREK SETİ</t>
  </si>
  <si>
    <t>A2021X190M</t>
  </si>
  <si>
    <t>Katlanır Kaşık Çatal Tirbuşon</t>
  </si>
  <si>
    <t>A2021X190S</t>
  </si>
  <si>
    <t>A2021X190Y</t>
  </si>
  <si>
    <t>A2021X190</t>
  </si>
  <si>
    <t>KATLANIR KAŞIK ÇATAL TİRBUŞON</t>
  </si>
  <si>
    <t>A2025X042</t>
  </si>
  <si>
    <t>KATLANIR KÜREK</t>
  </si>
  <si>
    <t>A2021X47</t>
  </si>
  <si>
    <t>KATLANIR TABURE</t>
  </si>
  <si>
    <t>ETTOF100000-K</t>
  </si>
  <si>
    <t>Kırmızı  İp</t>
  </si>
  <si>
    <t>ETTOF100000-KB</t>
  </si>
  <si>
    <t>Kırmızı Beyaz İp</t>
  </si>
  <si>
    <t>ETTKRI100014</t>
  </si>
  <si>
    <t>KRIEGER 3 LU KİLİM BEJ</t>
  </si>
  <si>
    <t>ETTKRI100016</t>
  </si>
  <si>
    <t>KRIEGER 3 LU KİLİM SİYAH</t>
  </si>
  <si>
    <t>ETTKRI100015</t>
  </si>
  <si>
    <t>KRIEGER 3 LU KİLİM SİYAH BEYAZ</t>
  </si>
  <si>
    <t>ETTKRI100019</t>
  </si>
  <si>
    <t>KRIEGER 3 LU KİLİM SİYAH GRİ</t>
  </si>
  <si>
    <t>ETTKRI100017</t>
  </si>
  <si>
    <t>KRIEGER 3 LU KİLİM SİYAH KIRMIZI</t>
  </si>
  <si>
    <t>ETTKRI100018</t>
  </si>
  <si>
    <t>KRIEGER 3 LU KİLİM SİYAH MAVİ</t>
  </si>
  <si>
    <t>ETTKRI100010</t>
  </si>
  <si>
    <t>KRIEGER PROFESYONEL PASPAS SİYAH 6 LI</t>
  </si>
  <si>
    <t>ETTKRI100012</t>
  </si>
  <si>
    <t>KRIEGER UNIVERSAL HAVUZLU KAUCUK PASPAS BEJ 7 Lİ</t>
  </si>
  <si>
    <t>ETTKRI100013</t>
  </si>
  <si>
    <t>KRIEGER UNIVERSAL HAVUZLU KAUCUK PASPAS GRI 7 Lİ</t>
  </si>
  <si>
    <t>ETTKRI100011</t>
  </si>
  <si>
    <t>KRIEGER UNIVERSAL HAVUZLU KAUCUK PASPAS SİYAH 7 Lİ</t>
  </si>
  <si>
    <t>A2021X89</t>
  </si>
  <si>
    <t>KROM TENCERE TAVA SETİ</t>
  </si>
  <si>
    <t>A2021X05</t>
  </si>
  <si>
    <t>KUKSA BARDAK BEAR</t>
  </si>
  <si>
    <t>A2021X07</t>
  </si>
  <si>
    <t>KUKSA BARDAK LEON</t>
  </si>
  <si>
    <t>A2021X182</t>
  </si>
  <si>
    <t>MAGNEZYUM ÇUBUĞU</t>
  </si>
  <si>
    <t>TRINT100413</t>
  </si>
  <si>
    <t>Marlin Flipper Renkli Palet 35/36</t>
  </si>
  <si>
    <t>TRINT100417</t>
  </si>
  <si>
    <t>Marlin Flipper Renkli Palet 43/44</t>
  </si>
  <si>
    <t>ETTOF100000-MS</t>
  </si>
  <si>
    <t>Mavi Sarı İp</t>
  </si>
  <si>
    <t>TRINT100422</t>
  </si>
  <si>
    <t>Micra Profesyonel Palet 35-36</t>
  </si>
  <si>
    <t>TRINT100423</t>
  </si>
  <si>
    <t>Micra Profesyonel Palet 37-38</t>
  </si>
  <si>
    <t>TRINT100425</t>
  </si>
  <si>
    <t>Micra Profesyonel Palet 41-42</t>
  </si>
  <si>
    <t>ORCAMP132</t>
  </si>
  <si>
    <t>Midi Cep Ocak</t>
  </si>
  <si>
    <t>ECTWLD100037</t>
  </si>
  <si>
    <t>MTS-C Chair</t>
  </si>
  <si>
    <t>ECTWLD100038</t>
  </si>
  <si>
    <t>MTS-C Table</t>
  </si>
  <si>
    <t>ECTWLD100039</t>
  </si>
  <si>
    <t>MTS-X Chair</t>
  </si>
  <si>
    <t>A2025X017</t>
  </si>
  <si>
    <t>Nurgaz Katlanır Masa Tabure Seti</t>
  </si>
  <si>
    <t>ORCAMP107</t>
  </si>
  <si>
    <t>Ocamp Portatif Ocak Üstü Izgara</t>
  </si>
  <si>
    <t>ORCAMP113</t>
  </si>
  <si>
    <t>Orcamp 3Lü Tencere Seti</t>
  </si>
  <si>
    <t>ORCAMP121-P</t>
  </si>
  <si>
    <t>Orcamp 420 Ml Termos Mug</t>
  </si>
  <si>
    <t>ORCAMP063</t>
  </si>
  <si>
    <t>Orcamp Adventure Retro Emaye Kupa Bardak, 330cc</t>
  </si>
  <si>
    <t>ORCAMP081</t>
  </si>
  <si>
    <t>Orcamp Büyük Boy Kamp Rüzgarlık, 9 Kanatlı, Taşıma</t>
  </si>
  <si>
    <t>ORCAMP082</t>
  </si>
  <si>
    <t>Orcamp Büyük Boy Rüzgarlık, 6 Kanatlı, Taşıma Çant</t>
  </si>
  <si>
    <t>ORCAMP055-K</t>
  </si>
  <si>
    <t>Orcamp Comfort Termal Çantalı Kamp Sandalyesi</t>
  </si>
  <si>
    <t>ORCAMP215</t>
  </si>
  <si>
    <t>Orcamp CONFI Uyku Tulumu</t>
  </si>
  <si>
    <t>ORCAMP195</t>
  </si>
  <si>
    <t>Orcamp COZY Kamp Sandalyesi</t>
  </si>
  <si>
    <t>ORCAMP144</t>
  </si>
  <si>
    <t>Orcamp Çakı</t>
  </si>
  <si>
    <t>ORCAMP039</t>
  </si>
  <si>
    <t>Orcamp Çantalı Çadır Sobası</t>
  </si>
  <si>
    <t>ORCAMP085</t>
  </si>
  <si>
    <t>Orcamp Çift Katmanli Vakumlu Termos, 1500ml</t>
  </si>
  <si>
    <t>ORCAMP123</t>
  </si>
  <si>
    <t>ORCAMP ÇİFT RENK KAMP MATI 16 MM</t>
  </si>
  <si>
    <t>ORCAMP116</t>
  </si>
  <si>
    <t>Orcamp Çift Yalıtım Çelik Termos 2 Lt</t>
  </si>
  <si>
    <t>ORCAMP114</t>
  </si>
  <si>
    <t>Orcamp Çok Amaçlı Magnezyum Çubuğu</t>
  </si>
  <si>
    <t>ORCAMP152</t>
  </si>
  <si>
    <t>Orcamp Doğa Şöminesi Izgara Ø 37 cm</t>
  </si>
  <si>
    <t>ORCAMP212</t>
  </si>
  <si>
    <t>Orcamp DUO Ultra Hafif Şişme Mat</t>
  </si>
  <si>
    <t>ORCAMP137</t>
  </si>
  <si>
    <t>Orcamp Elektrikli Nargile Kömür Ocağı</t>
  </si>
  <si>
    <t>ORCAMP194</t>
  </si>
  <si>
    <t>Orcamp Fileli Kamp Sandalyesi</t>
  </si>
  <si>
    <t>ORCAMP192</t>
  </si>
  <si>
    <t>Orcamp Flavo Demonte Barbekü</t>
  </si>
  <si>
    <t>ORCAMP266</t>
  </si>
  <si>
    <t>Orcamp Hodor 600 Led Kalem Fener</t>
  </si>
  <si>
    <t>ORCAMP201</t>
  </si>
  <si>
    <t>Orcamp HOKA3 Kamp Taburesi</t>
  </si>
  <si>
    <t>ORCAMP257</t>
  </si>
  <si>
    <t>Orcamp Hota Portatif Soba Turuncu</t>
  </si>
  <si>
    <t>ORCAMP109-M</t>
  </si>
  <si>
    <t>Orcamp Kamp Çatal Kaşık Seti</t>
  </si>
  <si>
    <t>ORCAMP109-S</t>
  </si>
  <si>
    <t>Orcamp Kamp Çatal Kaşık Seti, Sarı</t>
  </si>
  <si>
    <t>ORCAMP128</t>
  </si>
  <si>
    <t>ORCAMP KAMP DUŞU SOLAR PORTATİF TAŞINABİLİR DUŞ</t>
  </si>
  <si>
    <t>ORCAMP083</t>
  </si>
  <si>
    <t>Orcamp Kamp Tüp Bağlantı Aparatı</t>
  </si>
  <si>
    <t>ORCAMP108-G</t>
  </si>
  <si>
    <t>Orcamp Karabinal Çelik Kupa Bardak</t>
  </si>
  <si>
    <t>ORCAMP108-Y</t>
  </si>
  <si>
    <t>ORCAMP008</t>
  </si>
  <si>
    <t>Orcamp Katlanabilir Alüminyum Kamp Masası</t>
  </si>
  <si>
    <t>ORCAMP179</t>
  </si>
  <si>
    <t>Orcamp Katlanabilir İkili Kamp Ocak (Çantalı &amp; Ada</t>
  </si>
  <si>
    <t>ORCAMP115</t>
  </si>
  <si>
    <t>Orcamp Katlanabilir Kamp Testeresi</t>
  </si>
  <si>
    <t>ORCAMP066</t>
  </si>
  <si>
    <t>ORCAMP KATLANABİLİR ÜÇGEN IZGARA</t>
  </si>
  <si>
    <t>ORCAMP044-K</t>
  </si>
  <si>
    <t>ORCAMP KATLANABİLİR YAN MASALI KAMP SANDALYESİ</t>
  </si>
  <si>
    <t>ORCAMP044-Y</t>
  </si>
  <si>
    <t>ORCAMP204</t>
  </si>
  <si>
    <t>Orcamp Katlanır Alüminyum Boyalı Kamp Masası 67x62</t>
  </si>
  <si>
    <t>ORCAMP142</t>
  </si>
  <si>
    <t>Orcamp Katlanır Saplı Çelik Kupa 180 ml</t>
  </si>
  <si>
    <t>ORCAMP205</t>
  </si>
  <si>
    <t>Orcamp Kendinden Çantalı Piknik Örtüsü</t>
  </si>
  <si>
    <t>ORCAMP202</t>
  </si>
  <si>
    <t>Orcamp LETTO Katlanır Kampet</t>
  </si>
  <si>
    <t>ORCAMP139</t>
  </si>
  <si>
    <t>Orcamp Lüks Kamp Çaydanlığı (1.6 Lt.)</t>
  </si>
  <si>
    <t>ORCAMP046-K</t>
  </si>
  <si>
    <t>ORCAMP MİNİ ÇANTALI KAMP OCAĞI</t>
  </si>
  <si>
    <t>ORCAMP046-Y</t>
  </si>
  <si>
    <t>ORCAMP110-Y</t>
  </si>
  <si>
    <t>Orcamp Mini Fener</t>
  </si>
  <si>
    <t>ORCAMP110-K</t>
  </si>
  <si>
    <t>ORCAMP153</t>
  </si>
  <si>
    <t>Orcamp Mini Kamp Isıtıcı</t>
  </si>
  <si>
    <t>ORCAMP135</t>
  </si>
  <si>
    <t>Orcamp Nargile Köz Ocak</t>
  </si>
  <si>
    <t>ORCAMP169</t>
  </si>
  <si>
    <t>Orcamp Nerd 400 Kalem Fener</t>
  </si>
  <si>
    <t>ORCAMP214</t>
  </si>
  <si>
    <t>Orcamp NIDUM Uyku Tulumu</t>
  </si>
  <si>
    <t>ORCAMP235</t>
  </si>
  <si>
    <t>Orcamp Nord 3 Kişilik Çadır Çantalı</t>
  </si>
  <si>
    <t>ORCAMP241</t>
  </si>
  <si>
    <t>Orcamp Nord 4 Kişilik Çadır Çantalı</t>
  </si>
  <si>
    <t>ORCAMP122-R</t>
  </si>
  <si>
    <t>ORCAMP NORD TESTA SAĞDAN FERMUARLI UYKU TULUMU</t>
  </si>
  <si>
    <t>ORCAMP122-L</t>
  </si>
  <si>
    <t>ORCAMP NORD TESTA SOLDAN FERMUARLI UYKU TULUMU</t>
  </si>
  <si>
    <t>ORCAMP126</t>
  </si>
  <si>
    <t>ORCAMP OUT-1050 4LÜ ALÜMİNYUM TENCERE SETİ</t>
  </si>
  <si>
    <t>ORCAMP206</t>
  </si>
  <si>
    <t>Orcamp Outdoor Mat 7 mm</t>
  </si>
  <si>
    <t>ORCAMP007-Y</t>
  </si>
  <si>
    <t>Orcamp Paracord Hayatta Kalma Kamp Bilekliği</t>
  </si>
  <si>
    <t>ORCAMP106</t>
  </si>
  <si>
    <t>Orcamp Plastik Saplı Siboplu Pürmüz</t>
  </si>
  <si>
    <t>ORCAMP147</t>
  </si>
  <si>
    <t>Orcamp Profesyonel Kamp Bıçağı</t>
  </si>
  <si>
    <t>ORCAMP155</t>
  </si>
  <si>
    <t>Orcamp Retro Led Fener</t>
  </si>
  <si>
    <t>ORCAMP286</t>
  </si>
  <si>
    <t>Orcamp Rover Kamp Vagonu</t>
  </si>
  <si>
    <t>ORCAMP145</t>
  </si>
  <si>
    <t>Orcamp Satır Model Çakı</t>
  </si>
  <si>
    <t>ORCAMP133</t>
  </si>
  <si>
    <t>Orcamp Siboplu Nargile Ocak</t>
  </si>
  <si>
    <t>ORCAMP211</t>
  </si>
  <si>
    <t>Orcamp SLEPO Ultra-Hafif Şişme Mat</t>
  </si>
  <si>
    <t>ORCAMP172</t>
  </si>
  <si>
    <t>Orcamp Süper Ocak (ÇantaGranit Katmer-Grill-Adaptö</t>
  </si>
  <si>
    <t>ORCAMP156</t>
  </si>
  <si>
    <t>Orcamp Şarjlı Retro Fener</t>
  </si>
  <si>
    <t>ORCAMP196</t>
  </si>
  <si>
    <t>Orcamp TREK 360 Kamp Sandalyesi</t>
  </si>
  <si>
    <t>ORCAMP197</t>
  </si>
  <si>
    <t>Orcamp TREK Kamp Sandalyesi</t>
  </si>
  <si>
    <t>ORCAMP199</t>
  </si>
  <si>
    <t>Orcamp TRONO Kamp Sandalyesi</t>
  </si>
  <si>
    <t>ORCAMP198</t>
  </si>
  <si>
    <t>Orcamp TRONO3 Kademeli Kamp Sandalyesi</t>
  </si>
  <si>
    <t>ORCAMP162</t>
  </si>
  <si>
    <t>Orcamp Yanmaz Yapışmaz Izgara Tava (Direk Ateş Üst</t>
  </si>
  <si>
    <t>ORCAMP069</t>
  </si>
  <si>
    <t>Paslanmaz Inox Ateş Kutusu - Çantalı</t>
  </si>
  <si>
    <t>ETTPRF100002</t>
  </si>
  <si>
    <t>PF15  CAMP SOĞUTUCU ÇANTA</t>
  </si>
  <si>
    <t>ETTPRF100001</t>
  </si>
  <si>
    <t>PF4 BEBEK SOĞUKTUCU ÇANTA</t>
  </si>
  <si>
    <t>A2021X55</t>
  </si>
  <si>
    <t>PİKNİK ÖRTÜSÜ</t>
  </si>
  <si>
    <t>A2021X67</t>
  </si>
  <si>
    <t>PİKNİK SETİ ÇANTA</t>
  </si>
  <si>
    <t>A2025X091</t>
  </si>
  <si>
    <t>Portatif WC</t>
  </si>
  <si>
    <t>ORCAMP088</t>
  </si>
  <si>
    <t>Pratik Kulp Maşa</t>
  </si>
  <si>
    <t>TRINT100166</t>
  </si>
  <si>
    <t>RENGARENK DESENLI HAVUZ 147x33Cm</t>
  </si>
  <si>
    <t>ORCAMP097</t>
  </si>
  <si>
    <t>Retro Emaye Demlik</t>
  </si>
  <si>
    <t>ETTOF100000-S</t>
  </si>
  <si>
    <t>Sarı İp</t>
  </si>
  <si>
    <t>ETTOF100000-SS</t>
  </si>
  <si>
    <t>Sarı Siyah İp</t>
  </si>
  <si>
    <t>ORCAMP224</t>
  </si>
  <si>
    <t>Siboplu Kamp Ocak</t>
  </si>
  <si>
    <t>ETTOF100000-SI</t>
  </si>
  <si>
    <t>Siyah İp</t>
  </si>
  <si>
    <t>ECTWLD100029</t>
  </si>
  <si>
    <t>Summit Explorer 140</t>
  </si>
  <si>
    <t>ECTWLD100033</t>
  </si>
  <si>
    <t>Şişme Yatak</t>
  </si>
  <si>
    <t>A2021X26K</t>
  </si>
  <si>
    <t>Teleskobik Barbekü Çatalı Kırmızı</t>
  </si>
  <si>
    <t>A2021X26MA</t>
  </si>
  <si>
    <t>Teleskobik Barbekü Çatalı Mavi</t>
  </si>
  <si>
    <t>A2021X26S</t>
  </si>
  <si>
    <t>Teleskobik Barbekü Çatalı Sarı</t>
  </si>
  <si>
    <t>ORCAMP005</t>
  </si>
  <si>
    <t>Teleskopik Piramit Izgara</t>
  </si>
  <si>
    <t>ETTIMP100001</t>
  </si>
  <si>
    <t>TİROL ORGANİZER ÇANTA</t>
  </si>
  <si>
    <t>TRINT100401</t>
  </si>
  <si>
    <t>TNT Turtle Profesyonel Palet 31-32</t>
  </si>
  <si>
    <t>TRINT100402</t>
  </si>
  <si>
    <t>TNT Turtle Profesyonel Palet 33-34</t>
  </si>
  <si>
    <t>TRINT100405</t>
  </si>
  <si>
    <t>TNT Turtle Profesyonel Palet 39-40</t>
  </si>
  <si>
    <t>TRINT100429</t>
  </si>
  <si>
    <t>TNT Velocita Training Palet 37-38</t>
  </si>
  <si>
    <t>TRINT100409</t>
  </si>
  <si>
    <t>TNT Velocita Training Palet 43-44</t>
  </si>
  <si>
    <t>TRINT100430</t>
  </si>
  <si>
    <t>TNT Velocita Training Palet 45-46</t>
  </si>
  <si>
    <t>A2021X199</t>
  </si>
  <si>
    <t>TURBO ATEŞ KUTUSU BÜYÜK</t>
  </si>
  <si>
    <t>A2021X184</t>
  </si>
  <si>
    <t>TURBO ATEŞ KUTUSU KUCUK</t>
  </si>
  <si>
    <t>ETTOF100000-T</t>
  </si>
  <si>
    <t>Turuncu  İp</t>
  </si>
  <si>
    <t>ETTS8803T023</t>
  </si>
  <si>
    <t>TYESO COFFE MUG 400ML</t>
  </si>
  <si>
    <t>ETTURB100015</t>
  </si>
  <si>
    <t>URBAN  BADGER KIRMIZI  PÖTİ KARE PİKNİK ÖRTÜSÜ</t>
  </si>
  <si>
    <t>ETTURB100016</t>
  </si>
  <si>
    <t>URBAN  BADGER LİMONLU KARE PİKNİK ÖRTÜSÜ</t>
  </si>
  <si>
    <t>ETTURB100017</t>
  </si>
  <si>
    <t>URBAN  BADGER SARI ÇİÇEKLİ KARE PİKNİK ÖRTÜSÜ</t>
  </si>
  <si>
    <t>ETTURB100014</t>
  </si>
  <si>
    <t>URBAN  BADGER TURUNCU PÖTİ KARE PİKNİK ÖRTÜSÜ</t>
  </si>
  <si>
    <t>ECTURB100045</t>
  </si>
  <si>
    <t>URBAN BADGER BASKILI ETİKET KUŞE 3X3</t>
  </si>
  <si>
    <t>ECTURB100035</t>
  </si>
  <si>
    <t>URBAN BADGER BASKILI HOTMELT KOLİ BANDI 45X100</t>
  </si>
  <si>
    <t>ECTURB100040</t>
  </si>
  <si>
    <t>URBAN BADGER CANTALI KATLANIR SANDALYE ACIK MAVI</t>
  </si>
  <si>
    <t>ECTURB100037</t>
  </si>
  <si>
    <t>URBAN BADGER CANTALI KATLANIR SANDALYE KIRMIZI</t>
  </si>
  <si>
    <t>ECTURB100038</t>
  </si>
  <si>
    <t>URBAN BADGER CANTALI KATLANIR SANDALYE MAVI</t>
  </si>
  <si>
    <t>ECTURB100039</t>
  </si>
  <si>
    <t>URBAN BADGER CANTALI KATLANIR SANDALYE SARI</t>
  </si>
  <si>
    <t>UBTHE100163</t>
  </si>
  <si>
    <t>URBAN BADGER CIFT CIDARLI</t>
  </si>
  <si>
    <t>ETTURB100001</t>
  </si>
  <si>
    <t>Urban Badger Fenrir XL Katlanır Kamp Sandalyesi</t>
  </si>
  <si>
    <t>ETTURB100008</t>
  </si>
  <si>
    <t>Urban Badger Forseti Dremel Kabzalı Taktik Bıçak</t>
  </si>
  <si>
    <t>UBTHE100112-R</t>
  </si>
  <si>
    <t>URBAN BADGER FRENCH PRESS ROSE CELIK TERMOS 500ML</t>
  </si>
  <si>
    <t>UBTHE100112-S</t>
  </si>
  <si>
    <t>URBAN BADGER FRENCH PRESS SIYAH CELIK TERMOS 500ML</t>
  </si>
  <si>
    <t>ECTURB100011</t>
  </si>
  <si>
    <t>URBAN BADGER GECMELI CATAL BICAK KASIK SETI</t>
  </si>
  <si>
    <t>UBTHE100183-B</t>
  </si>
  <si>
    <t>URBAN BADGER GIZLI PIPETLI BEYAZ CELIK TERMOS 900M</t>
  </si>
  <si>
    <t>UBTHE100183-G</t>
  </si>
  <si>
    <t>URBAN BADGER GIZLI PIPETLI GRI CELIK TERMOS 900 ML</t>
  </si>
  <si>
    <t>ETTTMK100002-G</t>
  </si>
  <si>
    <t>URBAN BADGER GRI YASTIK-BATTANIYE</t>
  </si>
  <si>
    <t>ETTTMK100002-S</t>
  </si>
  <si>
    <t>ETTURB100012</t>
  </si>
  <si>
    <t>Urban Badger Hati At Başlı Tırtıklı Paslanmaz Balç</t>
  </si>
  <si>
    <t>ECTURB100033</t>
  </si>
  <si>
    <t>URBAN BADGER KANVAS KATLANIR SANDALYE</t>
  </si>
  <si>
    <t>ECTURB100017</t>
  </si>
  <si>
    <t>URBAN BADGER KATLANABILIR KAMP MANGALI</t>
  </si>
  <si>
    <t>ECTURB100020</t>
  </si>
  <si>
    <t>URBAN BADGER KATLANIR CATAL BICAK KASIK SETI</t>
  </si>
  <si>
    <t>ECTURB100051</t>
  </si>
  <si>
    <t>URBAN BADGER KUMAS KATLANIR MASA MINI</t>
  </si>
  <si>
    <t>ECTURB100031</t>
  </si>
  <si>
    <t>URBAN BADGER LUX KATLANIR SANDALYE</t>
  </si>
  <si>
    <t>ETTURB100009</t>
  </si>
  <si>
    <t>Urban Badger Magni Satır Model Verzalit Şef Bıçağı</t>
  </si>
  <si>
    <t>UBTHE100182-B</t>
  </si>
  <si>
    <t>URBAN BADGER MANTARLI SERAMIK BEYAZ KUPA 300ML</t>
  </si>
  <si>
    <t>UBTHE100182-S</t>
  </si>
  <si>
    <t>URBAN BADGER MANTARLI SERAMIK SIYAH KUPA 300ML</t>
  </si>
  <si>
    <t>UBTHE100998</t>
  </si>
  <si>
    <t>URBAN BADGER METAL ACACAK TIRBUSON</t>
  </si>
  <si>
    <t>UBTHE100165</t>
  </si>
  <si>
    <t>URBAN BADGER MINI KETTLE - DRIP POT 600ML</t>
  </si>
  <si>
    <t>ETTURB100003</t>
  </si>
  <si>
    <t>Urban Badger Mimir Katlanır Pratik Kamp Sandalyesi</t>
  </si>
  <si>
    <t>ETTURB100013</t>
  </si>
  <si>
    <t>Urban Badger Mjolnir Araç Üstü Bavul</t>
  </si>
  <si>
    <t>UBTHE100113-K</t>
  </si>
  <si>
    <t>URBAN BADGER PASLANMAZ CELIK KIRMIZI MUG 300ML</t>
  </si>
  <si>
    <t>UBTHE100176-M</t>
  </si>
  <si>
    <t>URBAN BADGER PASLANMAZ CELIK MAVI LUNCHBOX</t>
  </si>
  <si>
    <t>UBTHE100113-S</t>
  </si>
  <si>
    <t>URBAN BADGER PASLANMAZ CELIK SIYAH MUG 300ML</t>
  </si>
  <si>
    <t>UBTHE100175-S</t>
  </si>
  <si>
    <t>URBAN BADGER PASLANMAZ CELIK SIYAH TERMOS 480ML</t>
  </si>
  <si>
    <t>UBTHE100170-S</t>
  </si>
  <si>
    <t>URBAN BADGER PIPETLI KAPAKLI SIYAH TERMOS 380ML</t>
  </si>
  <si>
    <t>ETTURB100006</t>
  </si>
  <si>
    <t>Urban Badger Skadi Taktik Kolye Bıçak  14,5 cm</t>
  </si>
  <si>
    <t>ETTURB100010</t>
  </si>
  <si>
    <t>Urban Badger Sköll Zeytin Ağacı Kabzalı Tanto Çakı</t>
  </si>
  <si>
    <t>ECTURB100047</t>
  </si>
  <si>
    <t>URBAN BADGER TEBRİK KARTI 10X15</t>
  </si>
  <si>
    <t>UBTHE100174-K</t>
  </si>
  <si>
    <t>URBAN BADGER TERMOMETRELI KAHVERENGI TERMOS 410ML</t>
  </si>
  <si>
    <t>ETTTMK100001-S</t>
  </si>
  <si>
    <t>URBAN BADGER TURUNCU YASTIK-BATTANIYE</t>
  </si>
  <si>
    <t>ETTTMK100001-T</t>
  </si>
  <si>
    <t>ETTURB100007</t>
  </si>
  <si>
    <t>Urban Badger Vidar Kompakt Kabzalı Taktik Bıçak</t>
  </si>
  <si>
    <t>ETTURB100011</t>
  </si>
  <si>
    <t>Urban Badger Vili Bushcraft Ceviz Av Bıçağı 25 cm</t>
  </si>
  <si>
    <t>A2021X45</t>
  </si>
  <si>
    <t>UYKU TULUMU</t>
  </si>
  <si>
    <t>A2021X44</t>
  </si>
  <si>
    <t>UYKU TULUMU KIŞLIK</t>
  </si>
  <si>
    <t>A2021X11</t>
  </si>
  <si>
    <t>ÜÇÜ BİR ARADA TENCERE TAVA ÇAYDANLIK</t>
  </si>
  <si>
    <t>ECTWLD100009</t>
  </si>
  <si>
    <t>WILD LAND LITE CRUISER 120 - XL (SEMI FLY)</t>
  </si>
  <si>
    <t>ECTWLD100027</t>
  </si>
  <si>
    <t>WILD LAND PORTABLE LOUNGE</t>
  </si>
  <si>
    <t>ECTWLD100025</t>
  </si>
  <si>
    <t>WILD LAND STORAGE BOX</t>
  </si>
  <si>
    <t>ETTOF100000-Y</t>
  </si>
  <si>
    <t>Yeşil  İp</t>
  </si>
  <si>
    <t>ETTOF100000-YB</t>
  </si>
  <si>
    <t>Yeşil Beyaz İp</t>
  </si>
  <si>
    <t>ETTOF100000-YG</t>
  </si>
  <si>
    <t>Yeşil Gri İp</t>
  </si>
  <si>
    <t>▶  ARGE</t>
  </si>
  <si>
    <t>ARGE</t>
  </si>
  <si>
    <t>HRXX0099H582</t>
  </si>
  <si>
    <t>3M PETEKLİ REFLEKTİF BANT 50MMX5M BEYAZ</t>
  </si>
  <si>
    <t>HRXX0099H648</t>
  </si>
  <si>
    <t>BOYUNA LİFLİ 50mm x 50m BANT</t>
  </si>
  <si>
    <t>HRXX0099H643</t>
  </si>
  <si>
    <t>PETEKLİ REFLEKTİF BANT 55MM KIRMIZI</t>
  </si>
  <si>
    <t>HRXX0099H642</t>
  </si>
  <si>
    <t>PETEKLİ REFLEKTİF BANT 55MM SARI</t>
  </si>
  <si>
    <t>3DPT0099H008</t>
  </si>
  <si>
    <t>PORİMA ABS FİLAMENT 1,75 MM SİYAH</t>
  </si>
  <si>
    <t>3DPT0099H002</t>
  </si>
  <si>
    <t>PORİMA THOUGH PLA 1.75MM BEYAZ</t>
  </si>
  <si>
    <t>3DPT0099H001</t>
  </si>
  <si>
    <t>PORİMA THOUGH PLA 1.75MM SİYAH</t>
  </si>
  <si>
    <t>ARGE0099H113</t>
  </si>
  <si>
    <t>RAPTOR LINER TINTABLE (KİT)  ÇÖL RAL(RAL1001)</t>
  </si>
  <si>
    <t>ARGE0099H110</t>
  </si>
  <si>
    <t>RAPTOR LINER TINTABLE (KİT)  HAKİ(RAL6013)</t>
  </si>
  <si>
    <t>ARGE0099H109</t>
  </si>
  <si>
    <t>RAPTOR LINER TINTABLE (KİT) MAT BEYAZ(RAL9016)</t>
  </si>
  <si>
    <t>ARGE0099H046</t>
  </si>
  <si>
    <t>WESTACC PSA KABİN ARA LAMBASI</t>
  </si>
  <si>
    <t>▶  NUMUNE</t>
  </si>
  <si>
    <t>NUMUNE</t>
  </si>
  <si>
    <t>NMN481</t>
  </si>
  <si>
    <t>115X125 MM KROM AYARLI GERGİ KİLİDİ</t>
  </si>
  <si>
    <t>NMN501</t>
  </si>
  <si>
    <t>220V ELEKTRİK GİRİŞİ BEMIS</t>
  </si>
  <si>
    <t>NMN496</t>
  </si>
  <si>
    <t>28X48 HORTUM KELEPÇESİ</t>
  </si>
  <si>
    <t>NMN495</t>
  </si>
  <si>
    <t>38 MM ÖRGÜLÜ HORTUM</t>
  </si>
  <si>
    <t>NMN485</t>
  </si>
  <si>
    <t>3M SJ 3550 DUAL LOCK YAPIŞKANLI CIRT BANT</t>
  </si>
  <si>
    <t>NMN497</t>
  </si>
  <si>
    <t>44X46 HORTUM KELEPÇESİ</t>
  </si>
  <si>
    <t>NMN490</t>
  </si>
  <si>
    <t>AKU SLIM 100 LIFEP04</t>
  </si>
  <si>
    <t>NMN491</t>
  </si>
  <si>
    <t>AKU SLIM 150 LIFEP04</t>
  </si>
  <si>
    <t>NMN492</t>
  </si>
  <si>
    <t>AKU SLIM 200 LIFEP04</t>
  </si>
  <si>
    <t>NMN502</t>
  </si>
  <si>
    <t>CADIRLI YENİ GLADIATOR MODELI SASESI</t>
  </si>
  <si>
    <t>NMN463</t>
  </si>
  <si>
    <t>DİRSEK SARI 11/2</t>
  </si>
  <si>
    <t>NMN 459</t>
  </si>
  <si>
    <t>EBERSPACHER DİRSEK 60 MM</t>
  </si>
  <si>
    <t>NMN 458</t>
  </si>
  <si>
    <t>EBERSPACHER T 60 MM</t>
  </si>
  <si>
    <t>NMN439</t>
  </si>
  <si>
    <t>NMN471</t>
  </si>
  <si>
    <t>FIBER TELSIZ ANTEN 120CM SIYAH DUCKI</t>
  </si>
  <si>
    <t>NMN058</t>
  </si>
  <si>
    <t>Gazlı Amortisör</t>
  </si>
  <si>
    <t>NMN437</t>
  </si>
  <si>
    <t>GLADIATÖR TAKOZ AYAK KT109</t>
  </si>
  <si>
    <t>NMN452</t>
  </si>
  <si>
    <t>GLADİATÖR CYBERTRUCK GÖVDE BAĞLANTISI HAREKETLİ SP</t>
  </si>
  <si>
    <t>NMN448</t>
  </si>
  <si>
    <t>GLADİATÖR CYBERTRUCK GÖVDE BAĞLANTISI SET</t>
  </si>
  <si>
    <t>NMN478</t>
  </si>
  <si>
    <t>GLADİATÖR KATLANIR SÜRGÜLÜ MERDİVEN PATİKA</t>
  </si>
  <si>
    <t>NMN449</t>
  </si>
  <si>
    <t>NMN450</t>
  </si>
  <si>
    <t>GLADİATÖR XL TENTE BRAKETİ</t>
  </si>
  <si>
    <t>NMN451</t>
  </si>
  <si>
    <t>GLADİTÖR GÖVDE BAĞLANTISI AYAK ARA BAĞLANTI</t>
  </si>
  <si>
    <t>NMN498</t>
  </si>
  <si>
    <t>GÜVENLİK KEMERİ</t>
  </si>
  <si>
    <t>NMN487</t>
  </si>
  <si>
    <t>HAFELE SNAP BAĞLANTISI, İŞARETLEYİCİ</t>
  </si>
  <si>
    <t>NMN486</t>
  </si>
  <si>
    <t>HAFELE SNAP PANEL BAĞLANTI ELEMANI, DİŞİ PARÇA</t>
  </si>
  <si>
    <t>NMN488</t>
  </si>
  <si>
    <t>HAFELE SNAP PANEL BAĞLANTI ELEMANI, ERKEK PARÇA</t>
  </si>
  <si>
    <t>NMN207</t>
  </si>
  <si>
    <t>INDEL B PLEIN-AIRCRON 12V</t>
  </si>
  <si>
    <t>NMN477</t>
  </si>
  <si>
    <t>Kancalı Bagaj Lastiği</t>
  </si>
  <si>
    <t>NMN457</t>
  </si>
  <si>
    <t>KARLESK PREMİUM 5 KW DİZEL ISITICI</t>
  </si>
  <si>
    <t>NMN484</t>
  </si>
  <si>
    <t>KOÇLAR YAPRAK MENTEŞE 50X50 KROM KAPLI</t>
  </si>
  <si>
    <t>NMN476</t>
  </si>
  <si>
    <t>KOMPAKT LAMİNAT TEAK 6017</t>
  </si>
  <si>
    <t>NMN480</t>
  </si>
  <si>
    <t>L 31150 OTOMAİK SİNTİNE POMPASI 600 12V</t>
  </si>
  <si>
    <t>NMN455</t>
  </si>
  <si>
    <t>LAVANDA LAVABO LD561</t>
  </si>
  <si>
    <t>NMN454</t>
  </si>
  <si>
    <t>LAVANDA LAVABO MUSLUKLU LD562</t>
  </si>
  <si>
    <t>NMN462</t>
  </si>
  <si>
    <t>NMN121</t>
  </si>
  <si>
    <t>NMN428</t>
  </si>
  <si>
    <t>Octoopi Harness Hotomobil Gladıator</t>
  </si>
  <si>
    <t>NMN472</t>
  </si>
  <si>
    <t>OFFROAD LED PROJEKTOR</t>
  </si>
  <si>
    <t>NMN474</t>
  </si>
  <si>
    <t>ORION AKÜ LIFEPO4 12100B 12V 100AH BLUETOOTH EKRAN</t>
  </si>
  <si>
    <t>NMN475</t>
  </si>
  <si>
    <t>ORION AKÜ LIFEPO4 12200B 12V 200AH BLUETOOTH EKRAN</t>
  </si>
  <si>
    <t>NMN464</t>
  </si>
  <si>
    <t>REKOR ERKEK 11/2-40</t>
  </si>
  <si>
    <t>NMN442</t>
  </si>
  <si>
    <t>ROXFORM ARAÇ ÜSTÜ ÇADIR</t>
  </si>
  <si>
    <t>NMN500</t>
  </si>
  <si>
    <t>SABİT GERGİ</t>
  </si>
  <si>
    <t>NMN470</t>
  </si>
  <si>
    <t>SPİRALLİ ÇEKİÇ BAŞLI MUSLUK</t>
  </si>
  <si>
    <t>NMN465</t>
  </si>
  <si>
    <t>TELLİ PİS SU HORTUMU 38 MM</t>
  </si>
  <si>
    <t>NMN438</t>
  </si>
  <si>
    <t>NMN304</t>
  </si>
  <si>
    <t>ÜÇGEN KIRMIZI REFLEKTÖR</t>
  </si>
  <si>
    <t>NMN440</t>
  </si>
  <si>
    <t>WERD ELEKTRİKLİ SU ISITICI BOİLER 12 V</t>
  </si>
  <si>
    <t>NMN239</t>
  </si>
  <si>
    <t>WESTAC DİMMER-KISILABİLİR DOKUNMATİK ANAHTAR</t>
  </si>
  <si>
    <t>▶  MARKETING</t>
  </si>
  <si>
    <t>MARKETING</t>
  </si>
  <si>
    <t>ECTURB100046</t>
  </si>
  <si>
    <t>URBAN BADGER BASKILI ETİKET KUŞE 9X9</t>
  </si>
  <si>
    <t>▶  UYKU KAPSULU</t>
  </si>
  <si>
    <t>UYKU KAPSULU</t>
  </si>
  <si>
    <t>MBAP1001H019</t>
  </si>
  <si>
    <t>LAMİNANT 1057 ANTRASİT PARLAK</t>
  </si>
  <si>
    <t>MBAP4236H029</t>
  </si>
  <si>
    <t>LAMİNANT RULO 1050 BEYAZ UYKU KAPSULU</t>
  </si>
  <si>
    <t>MBAP4236H028</t>
  </si>
  <si>
    <t>LAMİNANT RULO 3211 MEŞE UYKU KAPSULU</t>
  </si>
  <si>
    <t>▶  KABIN</t>
  </si>
  <si>
    <t>KABIN</t>
  </si>
  <si>
    <t>ATLS0099H030</t>
  </si>
  <si>
    <t>PATIKA ROMORK</t>
  </si>
  <si>
    <t>▶  DIGER</t>
  </si>
  <si>
    <t>DIGER</t>
  </si>
  <si>
    <t/>
  </si>
  <si>
    <t>MKSF0099H101</t>
  </si>
  <si>
    <t>38 MM TELLİ SIHHI TESİSAT HORTUMU</t>
  </si>
  <si>
    <t>MKSF0099H104</t>
  </si>
  <si>
    <t>51 mm SARI VERİCİ HORTUM (ORTA HİZMET)</t>
  </si>
  <si>
    <t>153-NMN457</t>
  </si>
  <si>
    <t>AKÜ 82 AH AGM</t>
  </si>
  <si>
    <t>A2021X99</t>
  </si>
  <si>
    <t>CAMPOUT ÇİFT KATMANLI TERMOS 2600 ML</t>
  </si>
  <si>
    <t>A2021X201</t>
  </si>
  <si>
    <t>CAMPOUT PLAJ VE KAMP SANDALYESİ</t>
  </si>
  <si>
    <t>A2021X189</t>
  </si>
  <si>
    <t>EL FENERİ MASA LAMBASI FLAŞÖR</t>
  </si>
  <si>
    <t>ETUB0099M002</t>
  </si>
  <si>
    <t>FORD RANGER 2023+ SABİT CAMLI KABİN</t>
  </si>
  <si>
    <t>A2021X90</t>
  </si>
  <si>
    <t>GRANİT DÖKÜM TENCERE 24 CM</t>
  </si>
  <si>
    <t>NMN441</t>
  </si>
  <si>
    <t>HİDROFOR 7,5LT 2,1 BAR SUGA</t>
  </si>
  <si>
    <t>TRINT100163</t>
  </si>
  <si>
    <t>Intex 57403 Şişme Taban Havuz 166 cm</t>
  </si>
  <si>
    <t>TRINT100044</t>
  </si>
  <si>
    <t>Intex 58766 Gökkuşağı Buz Şeker Yatak 191 cm</t>
  </si>
  <si>
    <t>TRINT100157</t>
  </si>
  <si>
    <t>INTEX Desenli Lüks Simit 61 Cm 59241</t>
  </si>
  <si>
    <t>TRINT100003</t>
  </si>
  <si>
    <t>INTEX Kolluk 30x15 Cm 58641</t>
  </si>
  <si>
    <t>TRINT100030</t>
  </si>
  <si>
    <t>Intex PROFOSYONEL YUZUCU GOZLUGU (14+) - Asorti</t>
  </si>
  <si>
    <t>A2025X100</t>
  </si>
  <si>
    <t>Nurgaz Çift Yağ Şişesi</t>
  </si>
  <si>
    <t>NMN053</t>
  </si>
  <si>
    <t>Polipigment 312 Çimen Yeşili</t>
  </si>
  <si>
    <t>A2025X149</t>
  </si>
  <si>
    <t>PORTATİF KAVURMA SACI KÜÇÜK</t>
  </si>
  <si>
    <t>ECTURB100002</t>
  </si>
  <si>
    <t>URBAN BADGER BENZİN BİDONU</t>
  </si>
  <si>
    <t>ECTURB100003</t>
  </si>
  <si>
    <t>URBAN BADGER BENZİN BİDONU ANAHTAR</t>
  </si>
  <si>
    <t>TANIM</t>
  </si>
  <si>
    <t>ANLAM</t>
  </si>
  <si>
    <t>ARTIS % - Yeşil renk</t>
  </si>
  <si>
    <t>Fiyat düşmüş</t>
  </si>
  <si>
    <t>ARTIS % - Koyu sarı renk</t>
  </si>
  <si>
    <t>%0-%10 arasında artış</t>
  </si>
  <si>
    <t>ARTIS % - Turuncu renk</t>
  </si>
  <si>
    <t>%10-%25 arasında artış</t>
  </si>
  <si>
    <t>ARTIS % - Kırmızı renk</t>
  </si>
  <si>
    <t>%25 üzeri artış</t>
  </si>
  <si>
    <t>SON ALIMDAN - Sarı arka plan</t>
  </si>
  <si>
    <t>60-90 gün önce (2-3 ay)</t>
  </si>
  <si>
    <t>SON ALIMDAN - Turuncu arka plan</t>
  </si>
  <si>
    <t>90-180 gün önce (3-6 ay)</t>
  </si>
  <si>
    <t>SON ALIMDAN - Kırmızı arka plan</t>
  </si>
  <si>
    <t>180 gün üzeri (6 ay+) - KONTROL ET!</t>
  </si>
  <si>
    <t>EKI/KAS/ARA AYININ sütunu</t>
  </si>
  <si>
    <t>Ekim/Kasım/Aralık 2025 içinde alım yapılan en son ay</t>
  </si>
  <si>
    <t>TL BIRIM FIYAT</t>
  </si>
  <si>
    <t>FATURA_TUTAR / MIKTAR (kur dahil TL karşılığı)</t>
  </si>
  <si>
    <t>ORT ALIM SIKLIGI</t>
  </si>
  <si>
    <t>Alımlar arası ortalama gün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</si>
</sst>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₺"/>
    <numFmt numFmtId="165" formatCode="DD.MM.YYYY"/>
    <numFmt numFmtId="166" formatCode="+0.0%;-0.0%;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FFFFFF"/>
      <sz val="11"/>
    </font>
    <font>
      <sz val="9"/>
    </font>
    <font>
      <b/>
      <color rgb="FFFFFFFF"/>
      <sz val="9"/>
    </font>
    <font>
      <b/>
      <color rgb="FF886600"/>
      <sz val="9"/>
    </font>
    <font>
      <b/>
      <color rgb="FF333333"/>
      <sz val="9"/>
    </font>
    <font>
      <b/>
      <color rgb="FFCC4400"/>
      <sz val="9"/>
    </font>
    <font>
      <b/>
      <color rgb="FFCC0000"/>
      <sz val="9"/>
    </font>
    <font>
      <b/>
      <color rgb="FF00B050"/>
      <sz val="9"/>
    </font>
    <font>
      <b/>
      <color rgb="FFFFFFFF"/>
    </font>
    <font>
      <sz val="10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FCFC"/>
      </patternFill>
    </fill>
    <fill>
      <patternFill patternType="solid">
        <fgColor rgb="FFFF4444"/>
      </patternFill>
    </fill>
    <fill>
      <patternFill patternType="solid">
        <fgColor rgb="FFD6E4F0"/>
      </patternFill>
    </fill>
    <fill>
      <patternFill patternType="solid">
        <fgColor rgb="FFFFC000"/>
      </patternFill>
    </fill>
    <fill>
      <patternFill patternType="solid">
        <fgColor rgb="FFFF9900"/>
      </patternFill>
    </fill>
    <fill>
      <patternFill patternType="solid">
        <fgColor rgb="FFFFE0E0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7F4B1F"/>
      </patternFill>
    </fill>
    <fill>
      <patternFill patternType="solid">
        <fgColor rgb="FF3A1459"/>
      </patternFill>
    </fill>
    <fill>
      <patternFill patternType="solid">
        <fgColor rgb="FF004E6B"/>
      </patternFill>
    </fill>
    <fill>
      <patternFill patternType="solid">
        <fgColor rgb="FF1E5E3A"/>
      </patternFill>
    </fill>
    <fill>
      <patternFill patternType="solid">
        <fgColor rgb="FF3D3D3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4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4" fontId="3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3" fontId="6" fillId="6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166" fontId="8" fillId="8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10" fillId="2" borderId="0" xfId="0" applyFont="1" applyFill="1"/>
    <xf numFmtId="0" fontId="11" fillId="16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6"/>
  <sheetViews>
    <sheetView workbookViewId="0">
      <pane xSplit="4" ySplit="1" topLeftCell="E2" activePane="bottomRight" state="frozen"/>
      <selection pane="bottomRight"/>
    </sheetView>
  </sheetViews>
  <sheetFormatPr defaultRowHeight="17" outlineLevelRow="0" outlineLevelCol="0" x14ac:dyDescent="55" customHeight="1"/>
  <cols>
    <col min="1" max="1" width="14" customWidth="1"/>
    <col min="2" max="2" width="18" customWidth="1"/>
    <col min="3" max="3" width="14" customWidth="1"/>
    <col min="4" max="4" width="32" customWidth="1"/>
    <col min="5" max="5" width="12" customWidth="1"/>
    <col min="6" max="6" width="17" customWidth="1"/>
    <col min="7" max="7" width="14" customWidth="1"/>
    <col min="8" max="9" width="16" customWidth="1"/>
    <col min="10" max="10" width="17" customWidth="1"/>
    <col min="11" max="11" width="16" customWidth="1"/>
    <col min="12" max="12" width="15" customWidth="1"/>
    <col min="13" max="13" width="18" customWidth="1"/>
    <col min="14" max="14" width="14" customWidth="1"/>
    <col min="15" max="15" width="16" customWidth="1"/>
    <col min="16" max="16" width="18" customWidth="1"/>
    <col min="17" max="17" width="21" customWidth="1"/>
    <col min="18" max="18" width="12" customWidth="1"/>
    <col min="19" max="19" width="16" customWidth="1"/>
  </cols>
  <sheetData>
    <row r="1" ht="3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" customHeight="1" spans="1:19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7" customHeight="1" spans="1:19" x14ac:dyDescent="0.25">
      <c r="A3" s="3" t="s">
        <v>20</v>
      </c>
      <c r="B3" s="3" t="s">
        <v>21</v>
      </c>
      <c r="C3" s="3" t="s">
        <v>22</v>
      </c>
      <c r="D3" s="3" t="s">
        <v>23</v>
      </c>
      <c r="E3" s="4">
        <v>237</v>
      </c>
      <c r="F3" s="5">
        <v>93.5337832236287</v>
      </c>
      <c r="G3" s="6">
        <v>45663</v>
      </c>
      <c r="H3" s="5">
        <v>91.67</v>
      </c>
      <c r="I3" s="7" t="s">
        <v>24</v>
      </c>
      <c r="J3" s="5"/>
      <c r="K3" s="8" t="str">
        <f>IF(AND(H3&gt;0,J3&gt;0),(J3-H3)/H3,"")</f>
        <v/>
      </c>
      <c r="L3" s="5"/>
      <c r="M3" s="8" t="str">
        <f>IF(AND(J3&gt;0,L3&gt;0),(L3-J3)/J3,IF(AND(H3&gt;0,L3&gt;0),(L3-H3)/H3,""))</f>
        <v/>
      </c>
      <c r="N3" s="6">
        <v>45889</v>
      </c>
      <c r="O3" s="5">
        <v>94.17</v>
      </c>
      <c r="P3" s="8" t="str">
        <f>IF(AND(L3&gt;0,O3&gt;0),(O3-L3)/L3,"")</f>
        <v/>
      </c>
      <c r="Q3" s="9">
        <v>75</v>
      </c>
      <c r="R3" s="9">
        <v>4</v>
      </c>
      <c r="S3" s="10">
        <f>IF(N3&gt;0,TODAY()-N3,"")</f>
        <v>222</v>
      </c>
    </row>
    <row r="4" ht="17" customHeight="1" spans="1:19" x14ac:dyDescent="0.25">
      <c r="A4" s="11" t="s">
        <v>20</v>
      </c>
      <c r="B4" s="11" t="s">
        <v>21</v>
      </c>
      <c r="C4" s="11" t="s">
        <v>25</v>
      </c>
      <c r="D4" s="11" t="s">
        <v>26</v>
      </c>
      <c r="E4" s="12">
        <v>286</v>
      </c>
      <c r="F4" s="13">
        <v>81.72495323076923</v>
      </c>
      <c r="G4" s="14">
        <v>45663</v>
      </c>
      <c r="H4" s="13">
        <v>81.67</v>
      </c>
      <c r="I4" s="15" t="s">
        <v>24</v>
      </c>
      <c r="J4" s="13"/>
      <c r="K4" s="16" t="str">
        <f>IF(AND(H4&gt;0,J4&gt;0),(J4-H4)/H4,"")</f>
        <v/>
      </c>
      <c r="L4" s="13"/>
      <c r="M4" s="16" t="str">
        <f>IF(AND(J4&gt;0,L4&gt;0),(L4-J4)/J4,IF(AND(H4&gt;0,L4&gt;0),(L4-H4)/H4,""))</f>
        <v/>
      </c>
      <c r="N4" s="14">
        <v>46072</v>
      </c>
      <c r="O4" s="13">
        <v>82</v>
      </c>
      <c r="P4" s="17">
        <f>IF(AND(L4&gt;0,O4&gt;0),(O4-L4)/L4,"")</f>
        <v>0.004040651401983572</v>
      </c>
      <c r="Q4" s="18">
        <v>102</v>
      </c>
      <c r="R4" s="18">
        <v>5</v>
      </c>
      <c r="S4" s="18">
        <f>IF(N4&gt;0,TODAY()-N4,"")</f>
        <v>39</v>
      </c>
    </row>
    <row r="5" ht="17" customHeight="1" spans="1:19" x14ac:dyDescent="0.25">
      <c r="A5" s="3" t="s">
        <v>20</v>
      </c>
      <c r="B5" s="3" t="s">
        <v>21</v>
      </c>
      <c r="C5" s="3" t="s">
        <v>27</v>
      </c>
      <c r="D5" s="3" t="s">
        <v>28</v>
      </c>
      <c r="E5" s="4">
        <v>40</v>
      </c>
      <c r="F5" s="5">
        <v>75</v>
      </c>
      <c r="G5" s="6">
        <v>45757</v>
      </c>
      <c r="H5" s="5">
        <v>75</v>
      </c>
      <c r="I5" s="7" t="s">
        <v>24</v>
      </c>
      <c r="J5" s="5"/>
      <c r="K5" s="8" t="str">
        <f>IF(AND(H5&gt;0,J5&gt;0),(J5-H5)/H5,"")</f>
        <v/>
      </c>
      <c r="L5" s="5"/>
      <c r="M5" s="8" t="str">
        <f>IF(AND(J5&gt;0,L5&gt;0),(L5-J5)/J5,IF(AND(H5&gt;0,L5&gt;0),(L5-H5)/H5,""))</f>
        <v/>
      </c>
      <c r="N5" s="6">
        <v>45757</v>
      </c>
      <c r="O5" s="5">
        <v>75</v>
      </c>
      <c r="P5" s="8" t="str">
        <f>IF(AND(L5&gt;0,O5&gt;0),(O5-L5)/L5,"")</f>
        <v/>
      </c>
      <c r="Q5" s="9"/>
      <c r="R5" s="9">
        <v>1</v>
      </c>
      <c r="S5" s="10">
        <f>IF(N5&gt;0,TODAY()-N5,"")</f>
        <v>354</v>
      </c>
    </row>
    <row r="6" ht="17" customHeight="1" spans="1:19" x14ac:dyDescent="0.25">
      <c r="A6" s="11" t="s">
        <v>20</v>
      </c>
      <c r="B6" s="11" t="s">
        <v>21</v>
      </c>
      <c r="C6" s="11" t="s">
        <v>29</v>
      </c>
      <c r="D6" s="11" t="s">
        <v>30</v>
      </c>
      <c r="E6" s="12">
        <v>2</v>
      </c>
      <c r="F6" s="13">
        <v>40</v>
      </c>
      <c r="G6" s="14">
        <v>45757</v>
      </c>
      <c r="H6" s="13">
        <v>40</v>
      </c>
      <c r="I6" s="15" t="s">
        <v>24</v>
      </c>
      <c r="J6" s="13"/>
      <c r="K6" s="16" t="str">
        <f>IF(AND(H6&gt;0,J6&gt;0),(J6-H6)/H6,"")</f>
        <v/>
      </c>
      <c r="L6" s="13"/>
      <c r="M6" s="16" t="str">
        <f>IF(AND(J6&gt;0,L6&gt;0),(L6-J6)/J6,IF(AND(H6&gt;0,L6&gt;0),(L6-H6)/H6,""))</f>
        <v/>
      </c>
      <c r="N6" s="14">
        <v>45757</v>
      </c>
      <c r="O6" s="13">
        <v>40</v>
      </c>
      <c r="P6" s="16" t="str">
        <f>IF(AND(L6&gt;0,O6&gt;0),(O6-L6)/L6,"")</f>
        <v/>
      </c>
      <c r="Q6" s="18"/>
      <c r="R6" s="18">
        <v>1</v>
      </c>
      <c r="S6" s="10">
        <f>IF(N6&gt;0,TODAY()-N6,"")</f>
        <v>354</v>
      </c>
    </row>
    <row r="7" ht="17" customHeight="1" spans="1:19" x14ac:dyDescent="0.25">
      <c r="A7" s="3" t="s">
        <v>20</v>
      </c>
      <c r="B7" s="3" t="s">
        <v>31</v>
      </c>
      <c r="C7" s="3" t="s">
        <v>32</v>
      </c>
      <c r="D7" s="3" t="s">
        <v>33</v>
      </c>
      <c r="E7" s="4">
        <v>2</v>
      </c>
      <c r="F7" s="5">
        <v>3065.33</v>
      </c>
      <c r="G7" s="6">
        <v>45782</v>
      </c>
      <c r="H7" s="5">
        <v>3065.33</v>
      </c>
      <c r="I7" s="7" t="s">
        <v>24</v>
      </c>
      <c r="J7" s="5"/>
      <c r="K7" s="8" t="str">
        <f>IF(AND(H7&gt;0,J7&gt;0),(J7-H7)/H7,"")</f>
        <v/>
      </c>
      <c r="L7" s="5"/>
      <c r="M7" s="8" t="str">
        <f>IF(AND(J7&gt;0,L7&gt;0),(L7-J7)/J7,IF(AND(H7&gt;0,L7&gt;0),(L7-H7)/H7,""))</f>
        <v/>
      </c>
      <c r="N7" s="6">
        <v>45782</v>
      </c>
      <c r="O7" s="5">
        <v>3065.33</v>
      </c>
      <c r="P7" s="8" t="str">
        <f>IF(AND(L7&gt;0,O7&gt;0),(O7-L7)/L7,"")</f>
        <v/>
      </c>
      <c r="Q7" s="9"/>
      <c r="R7" s="9">
        <v>1</v>
      </c>
      <c r="S7" s="10">
        <f>IF(N7&gt;0,TODAY()-N7,"")</f>
        <v>329</v>
      </c>
    </row>
    <row r="8" ht="17" customHeight="1" spans="1:19" x14ac:dyDescent="0.25">
      <c r="A8" s="11" t="s">
        <v>20</v>
      </c>
      <c r="B8" s="11" t="s">
        <v>31</v>
      </c>
      <c r="C8" s="11" t="s">
        <v>34</v>
      </c>
      <c r="D8" s="11" t="s">
        <v>35</v>
      </c>
      <c r="E8" s="12">
        <v>6</v>
      </c>
      <c r="F8" s="13">
        <v>119.38833333333334</v>
      </c>
      <c r="G8" s="14">
        <v>45713</v>
      </c>
      <c r="H8" s="13">
        <v>119.39</v>
      </c>
      <c r="I8" s="15" t="s">
        <v>24</v>
      </c>
      <c r="J8" s="13"/>
      <c r="K8" s="16" t="str">
        <f>IF(AND(H8&gt;0,J8&gt;0),(J8-H8)/H8,"")</f>
        <v/>
      </c>
      <c r="L8" s="13"/>
      <c r="M8" s="16" t="str">
        <f>IF(AND(J8&gt;0,L8&gt;0),(L8-J8)/J8,IF(AND(H8&gt;0,L8&gt;0),(L8-H8)/H8,""))</f>
        <v/>
      </c>
      <c r="N8" s="14">
        <v>45713</v>
      </c>
      <c r="O8" s="13">
        <v>119.39</v>
      </c>
      <c r="P8" s="16" t="str">
        <f>IF(AND(L8&gt;0,O8&gt;0),(O8-L8)/L8,"")</f>
        <v/>
      </c>
      <c r="Q8" s="18"/>
      <c r="R8" s="18">
        <v>1</v>
      </c>
      <c r="S8" s="10">
        <f>IF(N8&gt;0,TODAY()-N8,"")</f>
        <v>398</v>
      </c>
    </row>
    <row r="9" ht="17" customHeight="1" spans="1:19" x14ac:dyDescent="0.25">
      <c r="A9" s="3" t="s">
        <v>20</v>
      </c>
      <c r="B9" s="3" t="s">
        <v>36</v>
      </c>
      <c r="C9" s="3" t="s">
        <v>37</v>
      </c>
      <c r="D9" s="3" t="s">
        <v>38</v>
      </c>
      <c r="E9" s="4">
        <v>40</v>
      </c>
      <c r="F9" s="5">
        <v>150</v>
      </c>
      <c r="G9" s="6">
        <v>45694</v>
      </c>
      <c r="H9" s="5">
        <v>150</v>
      </c>
      <c r="I9" s="7" t="s">
        <v>24</v>
      </c>
      <c r="J9" s="5"/>
      <c r="K9" s="8" t="str">
        <f>IF(AND(H9&gt;0,J9&gt;0),(J9-H9)/H9,"")</f>
        <v/>
      </c>
      <c r="L9" s="5"/>
      <c r="M9" s="8" t="str">
        <f>IF(AND(J9&gt;0,L9&gt;0),(L9-J9)/J9,IF(AND(H9&gt;0,L9&gt;0),(L9-H9)/H9,""))</f>
        <v/>
      </c>
      <c r="N9" s="6">
        <v>45694</v>
      </c>
      <c r="O9" s="5">
        <v>150</v>
      </c>
      <c r="P9" s="8" t="str">
        <f>IF(AND(L9&gt;0,O9&gt;0),(O9-L9)/L9,"")</f>
        <v/>
      </c>
      <c r="Q9" s="9"/>
      <c r="R9" s="9">
        <v>1</v>
      </c>
      <c r="S9" s="10">
        <f>IF(N9&gt;0,TODAY()-N9,"")</f>
        <v>417</v>
      </c>
    </row>
    <row r="10" ht="17" customHeight="1" spans="1:19" x14ac:dyDescent="0.25">
      <c r="A10" s="11" t="s">
        <v>20</v>
      </c>
      <c r="B10" s="11" t="s">
        <v>36</v>
      </c>
      <c r="C10" s="11" t="s">
        <v>39</v>
      </c>
      <c r="D10" s="11" t="s">
        <v>40</v>
      </c>
      <c r="E10" s="12">
        <v>20</v>
      </c>
      <c r="F10" s="13">
        <v>426</v>
      </c>
      <c r="G10" s="14">
        <v>45910</v>
      </c>
      <c r="H10" s="13">
        <v>426</v>
      </c>
      <c r="I10" s="15" t="s">
        <v>24</v>
      </c>
      <c r="J10" s="13"/>
      <c r="K10" s="16" t="str">
        <f>IF(AND(H10&gt;0,J10&gt;0),(J10-H10)/H10,"")</f>
        <v/>
      </c>
      <c r="L10" s="13">
        <v>426</v>
      </c>
      <c r="M10" s="17">
        <f>IF(AND(J10&gt;0,L10&gt;0),(L10-J10)/J10,IF(AND(H10&gt;0,L10&gt;0),(L10-H10)/H10,""))</f>
        <v>0</v>
      </c>
      <c r="N10" s="14">
        <v>46029</v>
      </c>
      <c r="O10" s="13">
        <v>426</v>
      </c>
      <c r="P10" s="16" t="str">
        <f>IF(AND(L10&gt;0,O10&gt;0),(O10-L10)/L10,"")</f>
        <v/>
      </c>
      <c r="Q10" s="18">
        <v>119</v>
      </c>
      <c r="R10" s="18">
        <v>2</v>
      </c>
      <c r="S10" s="19">
        <f>IF(N10&gt;0,TODAY()-N10,"")</f>
        <v>82</v>
      </c>
    </row>
    <row r="11" ht="17" customHeight="1" spans="1:19" x14ac:dyDescent="0.25">
      <c r="A11" s="3" t="s">
        <v>20</v>
      </c>
      <c r="B11" s="3" t="s">
        <v>36</v>
      </c>
      <c r="C11" s="3" t="s">
        <v>41</v>
      </c>
      <c r="D11" s="3" t="s">
        <v>42</v>
      </c>
      <c r="E11" s="4">
        <v>100</v>
      </c>
      <c r="F11" s="5">
        <v>60</v>
      </c>
      <c r="G11" s="6">
        <v>45775</v>
      </c>
      <c r="H11" s="5">
        <v>60</v>
      </c>
      <c r="I11" s="7" t="s">
        <v>24</v>
      </c>
      <c r="J11" s="5"/>
      <c r="K11" s="8" t="str">
        <f>IF(AND(H11&gt;0,J11&gt;0),(J11-H11)/H11,"")</f>
        <v/>
      </c>
      <c r="L11" s="5"/>
      <c r="M11" s="8" t="str">
        <f>IF(AND(J11&gt;0,L11&gt;0),(L11-J11)/J11,IF(AND(H11&gt;0,L11&gt;0),(L11-H11)/H11,""))</f>
        <v/>
      </c>
      <c r="N11" s="6">
        <v>45775</v>
      </c>
      <c r="O11" s="5">
        <v>60</v>
      </c>
      <c r="P11" s="8" t="str">
        <f>IF(AND(L11&gt;0,O11&gt;0),(O11-L11)/L11,"")</f>
        <v/>
      </c>
      <c r="Q11" s="9"/>
      <c r="R11" s="9">
        <v>1</v>
      </c>
      <c r="S11" s="10">
        <f>IF(N11&gt;0,TODAY()-N11,"")</f>
        <v>336</v>
      </c>
    </row>
    <row r="12" ht="17" customHeight="1" spans="1:19" x14ac:dyDescent="0.25">
      <c r="A12" s="11" t="s">
        <v>20</v>
      </c>
      <c r="B12" s="11" t="s">
        <v>36</v>
      </c>
      <c r="C12" s="11" t="s">
        <v>43</v>
      </c>
      <c r="D12" s="11" t="s">
        <v>44</v>
      </c>
      <c r="E12" s="12">
        <v>18</v>
      </c>
      <c r="F12" s="13">
        <v>37333.333333333336</v>
      </c>
      <c r="G12" s="14">
        <v>45772</v>
      </c>
      <c r="H12" s="13">
        <v>35000</v>
      </c>
      <c r="I12" s="15" t="s">
        <v>24</v>
      </c>
      <c r="J12" s="13"/>
      <c r="K12" s="16" t="str">
        <f>IF(AND(H12&gt;0,J12&gt;0),(J12-H12)/H12,"")</f>
        <v/>
      </c>
      <c r="L12" s="13">
        <v>41000</v>
      </c>
      <c r="M12" s="20">
        <f>IF(AND(J12&gt;0,L12&gt;0),(L12-J12)/J12,IF(AND(H12&gt;0,L12&gt;0),(L12-H12)/H12,""))</f>
        <v>0.17142857142857143</v>
      </c>
      <c r="N12" s="14">
        <v>46027</v>
      </c>
      <c r="O12" s="13">
        <v>41000</v>
      </c>
      <c r="P12" s="16" t="str">
        <f>IF(AND(L12&gt;0,O12&gt;0),(O12-L12)/L12,"")</f>
        <v/>
      </c>
      <c r="Q12" s="18">
        <v>51</v>
      </c>
      <c r="R12" s="18">
        <v>6</v>
      </c>
      <c r="S12" s="19">
        <f>IF(N12&gt;0,TODAY()-N12,"")</f>
        <v>84</v>
      </c>
    </row>
    <row r="13" ht="17" customHeight="1" spans="1:19" x14ac:dyDescent="0.25">
      <c r="A13" s="3" t="s">
        <v>20</v>
      </c>
      <c r="B13" s="3" t="s">
        <v>36</v>
      </c>
      <c r="C13" s="3" t="s">
        <v>45</v>
      </c>
      <c r="D13" s="3" t="s">
        <v>46</v>
      </c>
      <c r="E13" s="4">
        <v>15</v>
      </c>
      <c r="F13" s="5">
        <v>27.371333333333332</v>
      </c>
      <c r="G13" s="6">
        <v>45692</v>
      </c>
      <c r="H13" s="5">
        <v>39</v>
      </c>
      <c r="I13" s="7" t="s">
        <v>24</v>
      </c>
      <c r="J13" s="5"/>
      <c r="K13" s="8" t="str">
        <f>IF(AND(H13&gt;0,J13&gt;0),(J13-H13)/H13,"")</f>
        <v/>
      </c>
      <c r="L13" s="5"/>
      <c r="M13" s="8" t="str">
        <f>IF(AND(J13&gt;0,L13&gt;0),(L13-J13)/J13,IF(AND(H13&gt;0,L13&gt;0),(L13-H13)/H13,""))</f>
        <v/>
      </c>
      <c r="N13" s="6">
        <v>45700</v>
      </c>
      <c r="O13" s="5">
        <v>21.56</v>
      </c>
      <c r="P13" s="8" t="str">
        <f>IF(AND(L13&gt;0,O13&gt;0),(O13-L13)/L13,"")</f>
        <v/>
      </c>
      <c r="Q13" s="9">
        <v>8</v>
      </c>
      <c r="R13" s="9">
        <v>2</v>
      </c>
      <c r="S13" s="10">
        <f>IF(N13&gt;0,TODAY()-N13,"")</f>
        <v>411</v>
      </c>
    </row>
    <row r="14" ht="17" customHeight="1" spans="1:19" x14ac:dyDescent="0.25">
      <c r="A14" s="11" t="s">
        <v>20</v>
      </c>
      <c r="B14" s="11" t="s">
        <v>47</v>
      </c>
      <c r="C14" s="11" t="s">
        <v>48</v>
      </c>
      <c r="D14" s="11" t="s">
        <v>49</v>
      </c>
      <c r="E14" s="12">
        <v>36.7</v>
      </c>
      <c r="F14" s="13">
        <v>262.0202</v>
      </c>
      <c r="G14" s="14">
        <v>45860</v>
      </c>
      <c r="H14" s="13">
        <v>262.02</v>
      </c>
      <c r="I14" s="15" t="s">
        <v>24</v>
      </c>
      <c r="J14" s="13"/>
      <c r="K14" s="16" t="str">
        <f>IF(AND(H14&gt;0,J14&gt;0),(J14-H14)/H14,"")</f>
        <v/>
      </c>
      <c r="L14" s="13"/>
      <c r="M14" s="16" t="str">
        <f>IF(AND(J14&gt;0,L14&gt;0),(L14-J14)/J14,IF(AND(H14&gt;0,L14&gt;0),(L14-H14)/H14,""))</f>
        <v/>
      </c>
      <c r="N14" s="14">
        <v>45860</v>
      </c>
      <c r="O14" s="13">
        <v>262.02</v>
      </c>
      <c r="P14" s="16" t="str">
        <f>IF(AND(L14&gt;0,O14&gt;0),(O14-L14)/L14,"")</f>
        <v/>
      </c>
      <c r="Q14" s="18"/>
      <c r="R14" s="18">
        <v>1</v>
      </c>
      <c r="S14" s="10">
        <f>IF(N14&gt;0,TODAY()-N14,"")</f>
        <v>251</v>
      </c>
    </row>
    <row r="15" ht="17" customHeight="1" spans="1:19" x14ac:dyDescent="0.25">
      <c r="A15" s="3" t="s">
        <v>20</v>
      </c>
      <c r="B15" s="3" t="s">
        <v>47</v>
      </c>
      <c r="C15" s="3" t="s">
        <v>50</v>
      </c>
      <c r="D15" s="3" t="s">
        <v>51</v>
      </c>
      <c r="E15" s="4">
        <v>38.95</v>
      </c>
      <c r="F15" s="5">
        <v>262.0202</v>
      </c>
      <c r="G15" s="6">
        <v>45860</v>
      </c>
      <c r="H15" s="5">
        <v>262.02</v>
      </c>
      <c r="I15" s="7" t="s">
        <v>24</v>
      </c>
      <c r="J15" s="5"/>
      <c r="K15" s="8" t="str">
        <f>IF(AND(H15&gt;0,J15&gt;0),(J15-H15)/H15,"")</f>
        <v/>
      </c>
      <c r="L15" s="5"/>
      <c r="M15" s="8" t="str">
        <f>IF(AND(J15&gt;0,L15&gt;0),(L15-J15)/J15,IF(AND(H15&gt;0,L15&gt;0),(L15-H15)/H15,""))</f>
        <v/>
      </c>
      <c r="N15" s="6">
        <v>45860</v>
      </c>
      <c r="O15" s="5">
        <v>262.02</v>
      </c>
      <c r="P15" s="8" t="str">
        <f>IF(AND(L15&gt;0,O15&gt;0),(O15-L15)/L15,"")</f>
        <v/>
      </c>
      <c r="Q15" s="9"/>
      <c r="R15" s="9">
        <v>1</v>
      </c>
      <c r="S15" s="10">
        <f>IF(N15&gt;0,TODAY()-N15,"")</f>
        <v>251</v>
      </c>
    </row>
    <row r="16" ht="17" customHeight="1" spans="1:19" x14ac:dyDescent="0.25">
      <c r="A16" s="11" t="s">
        <v>20</v>
      </c>
      <c r="B16" s="11" t="s">
        <v>47</v>
      </c>
      <c r="C16" s="11" t="s">
        <v>52</v>
      </c>
      <c r="D16" s="11" t="s">
        <v>53</v>
      </c>
      <c r="E16" s="12">
        <v>6</v>
      </c>
      <c r="F16" s="13">
        <v>45000</v>
      </c>
      <c r="G16" s="14">
        <v>45911</v>
      </c>
      <c r="H16" s="13">
        <v>45000</v>
      </c>
      <c r="I16" s="15" t="s">
        <v>54</v>
      </c>
      <c r="J16" s="13">
        <v>45000</v>
      </c>
      <c r="K16" s="17">
        <f>IF(AND(H16&gt;0,J16&gt;0),(J16-H16)/H16,"")</f>
        <v>0</v>
      </c>
      <c r="L16" s="13"/>
      <c r="M16" s="16" t="str">
        <f>IF(AND(J16&gt;0,L16&gt;0),(L16-J16)/J16,IF(AND(H16&gt;0,L16&gt;0),(L16-H16)/H16,""))</f>
        <v/>
      </c>
      <c r="N16" s="14">
        <v>46000</v>
      </c>
      <c r="O16" s="13">
        <v>45000</v>
      </c>
      <c r="P16" s="16" t="str">
        <f>IF(AND(L16&gt;0,O16&gt;0),(O16-L16)/L16,"")</f>
        <v/>
      </c>
      <c r="Q16" s="18">
        <v>45</v>
      </c>
      <c r="R16" s="18">
        <v>3</v>
      </c>
      <c r="S16" s="21">
        <f>IF(N16&gt;0,TODAY()-N16,"")</f>
        <v>111</v>
      </c>
    </row>
    <row r="17" ht="17" customHeight="1" spans="1:19" x14ac:dyDescent="0.25">
      <c r="A17" s="3" t="s">
        <v>20</v>
      </c>
      <c r="B17" s="3" t="s">
        <v>47</v>
      </c>
      <c r="C17" s="3" t="s">
        <v>55</v>
      </c>
      <c r="D17" s="3" t="s">
        <v>56</v>
      </c>
      <c r="E17" s="4">
        <v>800</v>
      </c>
      <c r="F17" s="5">
        <v>44.5</v>
      </c>
      <c r="G17" s="6">
        <v>45706</v>
      </c>
      <c r="H17" s="5">
        <v>38</v>
      </c>
      <c r="I17" s="7" t="s">
        <v>57</v>
      </c>
      <c r="J17" s="5">
        <v>45</v>
      </c>
      <c r="K17" s="22">
        <f>IF(AND(H17&gt;0,J17&gt;0),(J17-H17)/H17,"")</f>
        <v>0.18421052631578946</v>
      </c>
      <c r="L17" s="5">
        <v>52</v>
      </c>
      <c r="M17" s="22">
        <f>IF(AND(J17&gt;0,L17&gt;0),(L17-J17)/J17,IF(AND(H17&gt;0,L17&gt;0),(L17-H17)/H17,""))</f>
        <v>0.15555555555555556</v>
      </c>
      <c r="N17" s="6">
        <v>46036</v>
      </c>
      <c r="O17" s="5">
        <v>52</v>
      </c>
      <c r="P17" s="8" t="str">
        <f>IF(AND(L17&gt;0,O17&gt;0),(O17-L17)/L17,"")</f>
        <v/>
      </c>
      <c r="Q17" s="9">
        <v>66</v>
      </c>
      <c r="R17" s="9">
        <v>6</v>
      </c>
      <c r="S17" s="19">
        <f>IF(N17&gt;0,TODAY()-N17,"")</f>
        <v>75</v>
      </c>
    </row>
    <row r="18" ht="17" customHeight="1" spans="1:19" x14ac:dyDescent="0.25">
      <c r="A18" s="11" t="s">
        <v>20</v>
      </c>
      <c r="B18" s="11" t="s">
        <v>47</v>
      </c>
      <c r="C18" s="11" t="s">
        <v>58</v>
      </c>
      <c r="D18" s="11" t="s">
        <v>59</v>
      </c>
      <c r="E18" s="12">
        <v>50</v>
      </c>
      <c r="F18" s="13">
        <v>27.812600000000003</v>
      </c>
      <c r="G18" s="14">
        <v>45988</v>
      </c>
      <c r="H18" s="13">
        <v>27.81</v>
      </c>
      <c r="I18" s="15" t="s">
        <v>60</v>
      </c>
      <c r="J18" s="13">
        <v>27.81</v>
      </c>
      <c r="K18" s="17">
        <f>IF(AND(H18&gt;0,J18&gt;0),(J18-H18)/H18,"")</f>
        <v>0</v>
      </c>
      <c r="L18" s="13"/>
      <c r="M18" s="16" t="str">
        <f>IF(AND(J18&gt;0,L18&gt;0),(L18-J18)/J18,IF(AND(H18&gt;0,L18&gt;0),(L18-H18)/H18,""))</f>
        <v/>
      </c>
      <c r="N18" s="14">
        <v>45988</v>
      </c>
      <c r="O18" s="13">
        <v>27.81</v>
      </c>
      <c r="P18" s="16" t="str">
        <f>IF(AND(L18&gt;0,O18&gt;0),(O18-L18)/L18,"")</f>
        <v/>
      </c>
      <c r="Q18" s="18"/>
      <c r="R18" s="18">
        <v>1</v>
      </c>
      <c r="S18" s="21">
        <f>IF(N18&gt;0,TODAY()-N18,"")</f>
        <v>123</v>
      </c>
    </row>
    <row r="19" ht="17" customHeight="1" spans="1:19" x14ac:dyDescent="0.25">
      <c r="A19" s="3" t="s">
        <v>20</v>
      </c>
      <c r="B19" s="3" t="s">
        <v>47</v>
      </c>
      <c r="C19" s="3" t="s">
        <v>61</v>
      </c>
      <c r="D19" s="3" t="s">
        <v>62</v>
      </c>
      <c r="E19" s="4">
        <v>1230</v>
      </c>
      <c r="F19" s="5">
        <v>24.014227642276424</v>
      </c>
      <c r="G19" s="6">
        <v>45691</v>
      </c>
      <c r="H19" s="5">
        <v>21</v>
      </c>
      <c r="I19" s="7" t="s">
        <v>60</v>
      </c>
      <c r="J19" s="5">
        <v>26.5</v>
      </c>
      <c r="K19" s="23">
        <f>IF(AND(H19&gt;0,J19&gt;0),(J19-H19)/H19,"")</f>
        <v>0.2619047619047619</v>
      </c>
      <c r="L19" s="5"/>
      <c r="M19" s="8" t="str">
        <f>IF(AND(J19&gt;0,L19&gt;0),(L19-J19)/J19,IF(AND(H19&gt;0,L19&gt;0),(L19-H19)/H19,""))</f>
        <v/>
      </c>
      <c r="N19" s="6">
        <v>46059</v>
      </c>
      <c r="O19" s="5">
        <v>27.75</v>
      </c>
      <c r="P19" s="24">
        <f>IF(AND(L19&gt;0,O19&gt;0),(O19-L19)/L19,"")</f>
        <v>0.04716981132075472</v>
      </c>
      <c r="Q19" s="9">
        <v>53</v>
      </c>
      <c r="R19" s="9">
        <v>8</v>
      </c>
      <c r="S19" s="9">
        <f>IF(N19&gt;0,TODAY()-N19,"")</f>
        <v>52</v>
      </c>
    </row>
    <row r="20" ht="17" customHeight="1" spans="1:19" x14ac:dyDescent="0.25">
      <c r="A20" s="11" t="s">
        <v>20</v>
      </c>
      <c r="B20" s="11" t="s">
        <v>47</v>
      </c>
      <c r="C20" s="11" t="s">
        <v>63</v>
      </c>
      <c r="D20" s="11" t="s">
        <v>64</v>
      </c>
      <c r="E20" s="12">
        <v>138</v>
      </c>
      <c r="F20" s="13">
        <v>115.21229905797101</v>
      </c>
      <c r="G20" s="14">
        <v>45727</v>
      </c>
      <c r="H20" s="13">
        <v>132.83</v>
      </c>
      <c r="I20" s="15" t="s">
        <v>24</v>
      </c>
      <c r="J20" s="13"/>
      <c r="K20" s="16" t="str">
        <f>IF(AND(H20&gt;0,J20&gt;0),(J20-H20)/H20,"")</f>
        <v/>
      </c>
      <c r="L20" s="13">
        <v>113.64</v>
      </c>
      <c r="M20" s="25">
        <f>IF(AND(J20&gt;0,L20&gt;0),(L20-J20)/J20,IF(AND(H20&gt;0,L20&gt;0),(L20-H20)/H20,""))</f>
        <v>-0.14447037566814733</v>
      </c>
      <c r="N20" s="14">
        <v>46104</v>
      </c>
      <c r="O20" s="13">
        <v>113.64</v>
      </c>
      <c r="P20" s="17">
        <f>IF(AND(L20&gt;0,O20&gt;0),(O20-L20)/L20,"")</f>
        <v>0</v>
      </c>
      <c r="Q20" s="18">
        <v>54</v>
      </c>
      <c r="R20" s="18">
        <v>8</v>
      </c>
      <c r="S20" s="18">
        <f>IF(N20&gt;0,TODAY()-N20,"")</f>
        <v>7</v>
      </c>
    </row>
    <row r="21" ht="17" customHeight="1" spans="1:19" x14ac:dyDescent="0.25">
      <c r="A21" s="3" t="s">
        <v>20</v>
      </c>
      <c r="B21" s="3" t="s">
        <v>47</v>
      </c>
      <c r="C21" s="3" t="s">
        <v>65</v>
      </c>
      <c r="D21" s="3" t="s">
        <v>66</v>
      </c>
      <c r="E21" s="4">
        <v>2</v>
      </c>
      <c r="F21" s="5">
        <v>375</v>
      </c>
      <c r="G21" s="6">
        <v>45702</v>
      </c>
      <c r="H21" s="5">
        <v>375</v>
      </c>
      <c r="I21" s="7" t="s">
        <v>24</v>
      </c>
      <c r="J21" s="5"/>
      <c r="K21" s="8" t="str">
        <f>IF(AND(H21&gt;0,J21&gt;0),(J21-H21)/H21,"")</f>
        <v/>
      </c>
      <c r="L21" s="5"/>
      <c r="M21" s="8" t="str">
        <f>IF(AND(J21&gt;0,L21&gt;0),(L21-J21)/J21,IF(AND(H21&gt;0,L21&gt;0),(L21-H21)/H21,""))</f>
        <v/>
      </c>
      <c r="N21" s="6">
        <v>45702</v>
      </c>
      <c r="O21" s="5">
        <v>375</v>
      </c>
      <c r="P21" s="8" t="str">
        <f>IF(AND(L21&gt;0,O21&gt;0),(O21-L21)/L21,"")</f>
        <v/>
      </c>
      <c r="Q21" s="9"/>
      <c r="R21" s="9">
        <v>1</v>
      </c>
      <c r="S21" s="10">
        <f>IF(N21&gt;0,TODAY()-N21,"")</f>
        <v>409</v>
      </c>
    </row>
    <row r="22" ht="17" customHeight="1" spans="1:19" x14ac:dyDescent="0.25">
      <c r="A22" s="11" t="s">
        <v>20</v>
      </c>
      <c r="B22" s="11" t="s">
        <v>47</v>
      </c>
      <c r="C22" s="11" t="s">
        <v>67</v>
      </c>
      <c r="D22" s="11" t="s">
        <v>68</v>
      </c>
      <c r="E22" s="12">
        <v>800</v>
      </c>
      <c r="F22" s="13">
        <v>5.78864</v>
      </c>
      <c r="G22" s="14">
        <v>45889</v>
      </c>
      <c r="H22" s="13">
        <v>7.57</v>
      </c>
      <c r="I22" s="15" t="s">
        <v>60</v>
      </c>
      <c r="J22" s="13">
        <v>4.01</v>
      </c>
      <c r="K22" s="25">
        <f>IF(AND(H22&gt;0,J22&gt;0),(J22-H22)/H22,"")</f>
        <v>-0.47027741083223257</v>
      </c>
      <c r="L22" s="13"/>
      <c r="M22" s="16" t="str">
        <f>IF(AND(J22&gt;0,L22&gt;0),(L22-J22)/J22,IF(AND(H22&gt;0,L22&gt;0),(L22-H22)/H22,""))</f>
        <v/>
      </c>
      <c r="N22" s="14">
        <v>45967</v>
      </c>
      <c r="O22" s="13">
        <v>4.01</v>
      </c>
      <c r="P22" s="16" t="str">
        <f>IF(AND(L22&gt;0,O22&gt;0),(O22-L22)/L22,"")</f>
        <v/>
      </c>
      <c r="Q22" s="18">
        <v>39</v>
      </c>
      <c r="R22" s="18">
        <v>3</v>
      </c>
      <c r="S22" s="21">
        <f>IF(N22&gt;0,TODAY()-N22,"")</f>
        <v>144</v>
      </c>
    </row>
    <row r="23" ht="17" customHeight="1" spans="1:19" x14ac:dyDescent="0.25">
      <c r="A23" s="3" t="s">
        <v>20</v>
      </c>
      <c r="B23" s="3" t="s">
        <v>47</v>
      </c>
      <c r="C23" s="3" t="s">
        <v>69</v>
      </c>
      <c r="D23" s="3" t="s">
        <v>70</v>
      </c>
      <c r="E23" s="4">
        <v>200</v>
      </c>
      <c r="F23" s="5">
        <v>6.58335</v>
      </c>
      <c r="G23" s="6">
        <v>45792</v>
      </c>
      <c r="H23" s="5">
        <v>6.58</v>
      </c>
      <c r="I23" s="7" t="s">
        <v>24</v>
      </c>
      <c r="J23" s="5"/>
      <c r="K23" s="8" t="str">
        <f>IF(AND(H23&gt;0,J23&gt;0),(J23-H23)/H23,"")</f>
        <v/>
      </c>
      <c r="L23" s="5"/>
      <c r="M23" s="8" t="str">
        <f>IF(AND(J23&gt;0,L23&gt;0),(L23-J23)/J23,IF(AND(H23&gt;0,L23&gt;0),(L23-H23)/H23,""))</f>
        <v/>
      </c>
      <c r="N23" s="6">
        <v>45792</v>
      </c>
      <c r="O23" s="5">
        <v>6.58</v>
      </c>
      <c r="P23" s="8" t="str">
        <f>IF(AND(L23&gt;0,O23&gt;0),(O23-L23)/L23,"")</f>
        <v/>
      </c>
      <c r="Q23" s="9"/>
      <c r="R23" s="9">
        <v>1</v>
      </c>
      <c r="S23" s="10">
        <f>IF(N23&gt;0,TODAY()-N23,"")</f>
        <v>319</v>
      </c>
    </row>
    <row r="24" ht="17" customHeight="1" spans="1:19" x14ac:dyDescent="0.25">
      <c r="A24" s="11" t="s">
        <v>20</v>
      </c>
      <c r="B24" s="11" t="s">
        <v>47</v>
      </c>
      <c r="C24" s="11" t="s">
        <v>71</v>
      </c>
      <c r="D24" s="11" t="s">
        <v>72</v>
      </c>
      <c r="E24" s="12">
        <v>145</v>
      </c>
      <c r="F24" s="13">
        <v>100.13524137931034</v>
      </c>
      <c r="G24" s="14">
        <v>45674</v>
      </c>
      <c r="H24" s="13">
        <v>89.11</v>
      </c>
      <c r="I24" s="15" t="s">
        <v>24</v>
      </c>
      <c r="J24" s="13"/>
      <c r="K24" s="16" t="str">
        <f>IF(AND(H24&gt;0,J24&gt;0),(J24-H24)/H24,"")</f>
        <v/>
      </c>
      <c r="L24" s="13"/>
      <c r="M24" s="16" t="str">
        <f>IF(AND(J24&gt;0,L24&gt;0),(L24-J24)/J24,IF(AND(H24&gt;0,L24&gt;0),(L24-H24)/H24,""))</f>
        <v/>
      </c>
      <c r="N24" s="14">
        <v>46070</v>
      </c>
      <c r="O24" s="13">
        <v>109.09</v>
      </c>
      <c r="P24" s="20">
        <f>IF(AND(L24&gt;0,O24&gt;0),(O24-L24)/L24,"")</f>
        <v>0.22421725956682756</v>
      </c>
      <c r="Q24" s="18">
        <v>396</v>
      </c>
      <c r="R24" s="18">
        <v>2</v>
      </c>
      <c r="S24" s="18">
        <f>IF(N24&gt;0,TODAY()-N24,"")</f>
        <v>41</v>
      </c>
    </row>
    <row r="25" ht="17" customHeight="1" spans="1:19" x14ac:dyDescent="0.25">
      <c r="A25" s="3" t="s">
        <v>20</v>
      </c>
      <c r="B25" s="3" t="s">
        <v>47</v>
      </c>
      <c r="C25" s="3" t="s">
        <v>73</v>
      </c>
      <c r="D25" s="3" t="s">
        <v>74</v>
      </c>
      <c r="E25" s="4">
        <v>1020</v>
      </c>
      <c r="F25" s="5">
        <v>48.588235294117645</v>
      </c>
      <c r="G25" s="6">
        <v>45687</v>
      </c>
      <c r="H25" s="5">
        <v>45</v>
      </c>
      <c r="I25" s="7" t="s">
        <v>57</v>
      </c>
      <c r="J25" s="5">
        <v>49</v>
      </c>
      <c r="K25" s="24">
        <f>IF(AND(H25&gt;0,J25&gt;0),(J25-H25)/H25,"")</f>
        <v>0.08888888888888889</v>
      </c>
      <c r="L25" s="5">
        <v>49</v>
      </c>
      <c r="M25" s="24">
        <f>IF(AND(J25&gt;0,L25&gt;0),(L25-J25)/J25,IF(AND(H25&gt;0,L25&gt;0),(L25-H25)/H25,""))</f>
        <v>0</v>
      </c>
      <c r="N25" s="6">
        <v>46031</v>
      </c>
      <c r="O25" s="5">
        <v>49</v>
      </c>
      <c r="P25" s="8" t="str">
        <f>IF(AND(L25&gt;0,O25&gt;0),(O25-L25)/L25,"")</f>
        <v/>
      </c>
      <c r="Q25" s="9">
        <v>43</v>
      </c>
      <c r="R25" s="9">
        <v>9</v>
      </c>
      <c r="S25" s="19">
        <f>IF(N25&gt;0,TODAY()-N25,"")</f>
        <v>80</v>
      </c>
    </row>
    <row r="26" ht="17" customHeight="1" spans="1:19" x14ac:dyDescent="0.25">
      <c r="A26" s="11" t="s">
        <v>20</v>
      </c>
      <c r="B26" s="11" t="s">
        <v>47</v>
      </c>
      <c r="C26" s="11" t="s">
        <v>75</v>
      </c>
      <c r="D26" s="11" t="s">
        <v>76</v>
      </c>
      <c r="E26" s="12">
        <v>25</v>
      </c>
      <c r="F26" s="13">
        <v>550.48</v>
      </c>
      <c r="G26" s="14">
        <v>46086</v>
      </c>
      <c r="H26" s="13">
        <v>550.48</v>
      </c>
      <c r="I26" s="15" t="s">
        <v>24</v>
      </c>
      <c r="J26" s="13"/>
      <c r="K26" s="16" t="str">
        <f>IF(AND(H26&gt;0,J26&gt;0),(J26-H26)/H26,"")</f>
        <v/>
      </c>
      <c r="L26" s="13"/>
      <c r="M26" s="16" t="str">
        <f>IF(AND(J26&gt;0,L26&gt;0),(L26-J26)/J26,IF(AND(H26&gt;0,L26&gt;0),(L26-H26)/H26,""))</f>
        <v/>
      </c>
      <c r="N26" s="14">
        <v>46086</v>
      </c>
      <c r="O26" s="13">
        <v>550.48</v>
      </c>
      <c r="P26" s="17">
        <f>IF(AND(L26&gt;0,O26&gt;0),(O26-L26)/L26,"")</f>
        <v>0</v>
      </c>
      <c r="Q26" s="18"/>
      <c r="R26" s="18">
        <v>1</v>
      </c>
      <c r="S26" s="18">
        <f>IF(N26&gt;0,TODAY()-N26,"")</f>
        <v>25</v>
      </c>
    </row>
    <row r="27" ht="17" customHeight="1" spans="1:19" x14ac:dyDescent="0.25">
      <c r="A27" s="3" t="s">
        <v>20</v>
      </c>
      <c r="B27" s="3" t="s">
        <v>47</v>
      </c>
      <c r="C27" s="3" t="s">
        <v>77</v>
      </c>
      <c r="D27" s="3" t="s">
        <v>78</v>
      </c>
      <c r="E27" s="4">
        <v>100</v>
      </c>
      <c r="F27" s="5">
        <v>177.27270000000001</v>
      </c>
      <c r="G27" s="6">
        <v>45945</v>
      </c>
      <c r="H27" s="5">
        <v>177.27</v>
      </c>
      <c r="I27" s="7" t="s">
        <v>57</v>
      </c>
      <c r="J27" s="5">
        <v>177.27</v>
      </c>
      <c r="K27" s="24">
        <f>IF(AND(H27&gt;0,J27&gt;0),(J27-H27)/H27,"")</f>
        <v>0</v>
      </c>
      <c r="L27" s="5"/>
      <c r="M27" s="8" t="str">
        <f>IF(AND(J27&gt;0,L27&gt;0),(L27-J27)/J27,IF(AND(H27&gt;0,L27&gt;0),(L27-H27)/H27,""))</f>
        <v/>
      </c>
      <c r="N27" s="6">
        <v>45945</v>
      </c>
      <c r="O27" s="5">
        <v>177.27</v>
      </c>
      <c r="P27" s="8" t="str">
        <f>IF(AND(L27&gt;0,O27&gt;0),(O27-L27)/L27,"")</f>
        <v/>
      </c>
      <c r="Q27" s="9"/>
      <c r="R27" s="9">
        <v>1</v>
      </c>
      <c r="S27" s="21">
        <f>IF(N27&gt;0,TODAY()-N27,"")</f>
        <v>166</v>
      </c>
    </row>
    <row r="28" ht="17" customHeight="1" spans="1:19" x14ac:dyDescent="0.25">
      <c r="A28" s="11" t="s">
        <v>20</v>
      </c>
      <c r="B28" s="11" t="s">
        <v>47</v>
      </c>
      <c r="C28" s="11" t="s">
        <v>79</v>
      </c>
      <c r="D28" s="11" t="s">
        <v>80</v>
      </c>
      <c r="E28" s="12">
        <v>100</v>
      </c>
      <c r="F28" s="13">
        <v>177.27270000000001</v>
      </c>
      <c r="G28" s="14">
        <v>45945</v>
      </c>
      <c r="H28" s="13">
        <v>177.27</v>
      </c>
      <c r="I28" s="15" t="s">
        <v>57</v>
      </c>
      <c r="J28" s="13">
        <v>177.27</v>
      </c>
      <c r="K28" s="17">
        <f>IF(AND(H28&gt;0,J28&gt;0),(J28-H28)/H28,"")</f>
        <v>0</v>
      </c>
      <c r="L28" s="13"/>
      <c r="M28" s="16" t="str">
        <f>IF(AND(J28&gt;0,L28&gt;0),(L28-J28)/J28,IF(AND(H28&gt;0,L28&gt;0),(L28-H28)/H28,""))</f>
        <v/>
      </c>
      <c r="N28" s="14">
        <v>45945</v>
      </c>
      <c r="O28" s="13">
        <v>177.27</v>
      </c>
      <c r="P28" s="16" t="str">
        <f>IF(AND(L28&gt;0,O28&gt;0),(O28-L28)/L28,"")</f>
        <v/>
      </c>
      <c r="Q28" s="18"/>
      <c r="R28" s="18">
        <v>1</v>
      </c>
      <c r="S28" s="21">
        <f>IF(N28&gt;0,TODAY()-N28,"")</f>
        <v>166</v>
      </c>
    </row>
    <row r="29" ht="17" customHeight="1" spans="1:19" x14ac:dyDescent="0.25">
      <c r="A29" s="3" t="s">
        <v>20</v>
      </c>
      <c r="B29" s="3" t="s">
        <v>47</v>
      </c>
      <c r="C29" s="3" t="s">
        <v>81</v>
      </c>
      <c r="D29" s="3" t="s">
        <v>82</v>
      </c>
      <c r="E29" s="4">
        <v>500</v>
      </c>
      <c r="F29" s="5">
        <v>263.8</v>
      </c>
      <c r="G29" s="6">
        <v>45751</v>
      </c>
      <c r="H29" s="5">
        <v>236</v>
      </c>
      <c r="I29" s="7" t="s">
        <v>24</v>
      </c>
      <c r="J29" s="5"/>
      <c r="K29" s="8" t="str">
        <f>IF(AND(H29&gt;0,J29&gt;0),(J29-H29)/H29,"")</f>
        <v/>
      </c>
      <c r="L29" s="5">
        <v>286</v>
      </c>
      <c r="M29" s="22">
        <f>IF(AND(J29&gt;0,L29&gt;0),(L29-J29)/J29,IF(AND(H29&gt;0,L29&gt;0),(L29-H29)/H29,""))</f>
        <v>0.211864406779661</v>
      </c>
      <c r="N29" s="6">
        <v>46091</v>
      </c>
      <c r="O29" s="5">
        <v>320</v>
      </c>
      <c r="P29" s="22">
        <f>IF(AND(L29&gt;0,O29&gt;0),(O29-L29)/L29,"")</f>
        <v>0.11888111888111888</v>
      </c>
      <c r="Q29" s="9">
        <v>68</v>
      </c>
      <c r="R29" s="9">
        <v>6</v>
      </c>
      <c r="S29" s="9">
        <f>IF(N29&gt;0,TODAY()-N29,"")</f>
        <v>20</v>
      </c>
    </row>
    <row r="30" ht="17" customHeight="1" spans="1:19" x14ac:dyDescent="0.25">
      <c r="A30" s="11" t="s">
        <v>20</v>
      </c>
      <c r="B30" s="11" t="s">
        <v>47</v>
      </c>
      <c r="C30" s="11" t="s">
        <v>83</v>
      </c>
      <c r="D30" s="11" t="s">
        <v>84</v>
      </c>
      <c r="E30" s="12">
        <v>950</v>
      </c>
      <c r="F30" s="13">
        <v>253.68421052631578</v>
      </c>
      <c r="G30" s="14">
        <v>45709</v>
      </c>
      <c r="H30" s="13">
        <v>200</v>
      </c>
      <c r="I30" s="15" t="s">
        <v>24</v>
      </c>
      <c r="J30" s="13"/>
      <c r="K30" s="16" t="str">
        <f>IF(AND(H30&gt;0,J30&gt;0),(J30-H30)/H30,"")</f>
        <v/>
      </c>
      <c r="L30" s="13">
        <v>286</v>
      </c>
      <c r="M30" s="23">
        <f>IF(AND(J30&gt;0,L30&gt;0),(L30-J30)/J30,IF(AND(H30&gt;0,L30&gt;0),(L30-H30)/H30,""))</f>
        <v>0.43</v>
      </c>
      <c r="N30" s="14">
        <v>46091</v>
      </c>
      <c r="O30" s="13">
        <v>320</v>
      </c>
      <c r="P30" s="20">
        <f>IF(AND(L30&gt;0,O30&gt;0),(O30-L30)/L30,"")</f>
        <v>0.11888111888111888</v>
      </c>
      <c r="Q30" s="18">
        <v>64</v>
      </c>
      <c r="R30" s="18">
        <v>7</v>
      </c>
      <c r="S30" s="18">
        <f>IF(N30&gt;0,TODAY()-N30,"")</f>
        <v>20</v>
      </c>
    </row>
    <row r="31" ht="17" customHeight="1" spans="1:19" x14ac:dyDescent="0.25">
      <c r="A31" s="3" t="s">
        <v>20</v>
      </c>
      <c r="B31" s="3" t="s">
        <v>47</v>
      </c>
      <c r="C31" s="3" t="s">
        <v>85</v>
      </c>
      <c r="D31" s="3" t="s">
        <v>86</v>
      </c>
      <c r="E31" s="4">
        <v>80</v>
      </c>
      <c r="F31" s="5">
        <v>161.693375</v>
      </c>
      <c r="G31" s="6">
        <v>45831</v>
      </c>
      <c r="H31" s="5">
        <v>154.28</v>
      </c>
      <c r="I31" s="7" t="s">
        <v>24</v>
      </c>
      <c r="J31" s="5"/>
      <c r="K31" s="8" t="str">
        <f>IF(AND(H31&gt;0,J31&gt;0),(J31-H31)/H31,"")</f>
        <v/>
      </c>
      <c r="L31" s="5"/>
      <c r="M31" s="8" t="str">
        <f>IF(AND(J31&gt;0,L31&gt;0),(L31-J31)/J31,IF(AND(H31&gt;0,L31&gt;0),(L31-H31)/H31,""))</f>
        <v/>
      </c>
      <c r="N31" s="6">
        <v>46070</v>
      </c>
      <c r="O31" s="5">
        <v>169.11</v>
      </c>
      <c r="P31" s="24">
        <f>IF(AND(L31&gt;0,O31&gt;0),(O31-L31)/L31,"")</f>
        <v>0.0961239305159451</v>
      </c>
      <c r="Q31" s="9">
        <v>239</v>
      </c>
      <c r="R31" s="9">
        <v>2</v>
      </c>
      <c r="S31" s="9">
        <f>IF(N31&gt;0,TODAY()-N31,"")</f>
        <v>41</v>
      </c>
    </row>
    <row r="32" ht="17" customHeight="1" spans="1:19" x14ac:dyDescent="0.25">
      <c r="A32" s="11" t="s">
        <v>20</v>
      </c>
      <c r="B32" s="11" t="s">
        <v>47</v>
      </c>
      <c r="C32" s="11" t="s">
        <v>87</v>
      </c>
      <c r="D32" s="11" t="s">
        <v>88</v>
      </c>
      <c r="E32" s="12">
        <v>90</v>
      </c>
      <c r="F32" s="13">
        <v>271.89022222222223</v>
      </c>
      <c r="G32" s="14">
        <v>45728</v>
      </c>
      <c r="H32" s="13">
        <v>265.22</v>
      </c>
      <c r="I32" s="15" t="s">
        <v>24</v>
      </c>
      <c r="J32" s="13"/>
      <c r="K32" s="16" t="str">
        <f>IF(AND(H32&gt;0,J32&gt;0),(J32-H32)/H32,"")</f>
        <v/>
      </c>
      <c r="L32" s="13"/>
      <c r="M32" s="16" t="str">
        <f>IF(AND(J32&gt;0,L32&gt;0),(L32-J32)/J32,IF(AND(H32&gt;0,L32&gt;0),(L32-H32)/H32,""))</f>
        <v/>
      </c>
      <c r="N32" s="14">
        <v>45763</v>
      </c>
      <c r="O32" s="13">
        <v>275.22</v>
      </c>
      <c r="P32" s="16" t="str">
        <f>IF(AND(L32&gt;0,O32&gt;0),(O32-L32)/L32,"")</f>
        <v/>
      </c>
      <c r="Q32" s="18">
        <v>35</v>
      </c>
      <c r="R32" s="18">
        <v>2</v>
      </c>
      <c r="S32" s="10">
        <f>IF(N32&gt;0,TODAY()-N32,"")</f>
        <v>348</v>
      </c>
    </row>
    <row r="33" ht="17" customHeight="1" spans="1:19" x14ac:dyDescent="0.25">
      <c r="A33" s="3" t="s">
        <v>20</v>
      </c>
      <c r="B33" s="3" t="s">
        <v>47</v>
      </c>
      <c r="C33" s="3" t="s">
        <v>89</v>
      </c>
      <c r="D33" s="3" t="s">
        <v>90</v>
      </c>
      <c r="E33" s="4">
        <v>15</v>
      </c>
      <c r="F33" s="5">
        <v>150</v>
      </c>
      <c r="G33" s="6">
        <v>45825</v>
      </c>
      <c r="H33" s="5">
        <v>150</v>
      </c>
      <c r="I33" s="7" t="s">
        <v>24</v>
      </c>
      <c r="J33" s="5"/>
      <c r="K33" s="8" t="str">
        <f>IF(AND(H33&gt;0,J33&gt;0),(J33-H33)/H33,"")</f>
        <v/>
      </c>
      <c r="L33" s="5"/>
      <c r="M33" s="8" t="str">
        <f>IF(AND(J33&gt;0,L33&gt;0),(L33-J33)/J33,IF(AND(H33&gt;0,L33&gt;0),(L33-H33)/H33,""))</f>
        <v/>
      </c>
      <c r="N33" s="6">
        <v>45825</v>
      </c>
      <c r="O33" s="5">
        <v>150</v>
      </c>
      <c r="P33" s="8" t="str">
        <f>IF(AND(L33&gt;0,O33&gt;0),(O33-L33)/L33,"")</f>
        <v/>
      </c>
      <c r="Q33" s="9"/>
      <c r="R33" s="9">
        <v>1</v>
      </c>
      <c r="S33" s="10">
        <f>IF(N33&gt;0,TODAY()-N33,"")</f>
        <v>286</v>
      </c>
    </row>
    <row r="34" ht="17" customHeight="1" spans="1:19" x14ac:dyDescent="0.25">
      <c r="A34" s="11" t="s">
        <v>20</v>
      </c>
      <c r="B34" s="11" t="s">
        <v>47</v>
      </c>
      <c r="C34" s="11" t="s">
        <v>91</v>
      </c>
      <c r="D34" s="11" t="s">
        <v>92</v>
      </c>
      <c r="E34" s="12">
        <v>5</v>
      </c>
      <c r="F34" s="13">
        <v>204.546</v>
      </c>
      <c r="G34" s="14">
        <v>45700</v>
      </c>
      <c r="H34" s="13">
        <v>204.55</v>
      </c>
      <c r="I34" s="15" t="s">
        <v>24</v>
      </c>
      <c r="J34" s="13"/>
      <c r="K34" s="16" t="str">
        <f>IF(AND(H34&gt;0,J34&gt;0),(J34-H34)/H34,"")</f>
        <v/>
      </c>
      <c r="L34" s="13"/>
      <c r="M34" s="16" t="str">
        <f>IF(AND(J34&gt;0,L34&gt;0),(L34-J34)/J34,IF(AND(H34&gt;0,L34&gt;0),(L34-H34)/H34,""))</f>
        <v/>
      </c>
      <c r="N34" s="14">
        <v>45700</v>
      </c>
      <c r="O34" s="13">
        <v>204.55</v>
      </c>
      <c r="P34" s="16" t="str">
        <f>IF(AND(L34&gt;0,O34&gt;0),(O34-L34)/L34,"")</f>
        <v/>
      </c>
      <c r="Q34" s="18"/>
      <c r="R34" s="18">
        <v>1</v>
      </c>
      <c r="S34" s="10">
        <f>IF(N34&gt;0,TODAY()-N34,"")</f>
        <v>411</v>
      </c>
    </row>
    <row r="35" ht="17" customHeight="1" spans="1:19" x14ac:dyDescent="0.25">
      <c r="A35" s="3" t="s">
        <v>20</v>
      </c>
      <c r="B35" s="3" t="s">
        <v>47</v>
      </c>
      <c r="C35" s="3" t="s">
        <v>93</v>
      </c>
      <c r="D35" s="3" t="s">
        <v>94</v>
      </c>
      <c r="E35" s="4">
        <v>3</v>
      </c>
      <c r="F35" s="5">
        <v>390.1766666666667</v>
      </c>
      <c r="G35" s="6">
        <v>45726</v>
      </c>
      <c r="H35" s="5">
        <v>390.18</v>
      </c>
      <c r="I35" s="7" t="s">
        <v>24</v>
      </c>
      <c r="J35" s="5"/>
      <c r="K35" s="8" t="str">
        <f>IF(AND(H35&gt;0,J35&gt;0),(J35-H35)/H35,"")</f>
        <v/>
      </c>
      <c r="L35" s="5"/>
      <c r="M35" s="8" t="str">
        <f>IF(AND(J35&gt;0,L35&gt;0),(L35-J35)/J35,IF(AND(H35&gt;0,L35&gt;0),(L35-H35)/H35,""))</f>
        <v/>
      </c>
      <c r="N35" s="6">
        <v>45726</v>
      </c>
      <c r="O35" s="5">
        <v>390.18</v>
      </c>
      <c r="P35" s="8" t="str">
        <f>IF(AND(L35&gt;0,O35&gt;0),(O35-L35)/L35,"")</f>
        <v/>
      </c>
      <c r="Q35" s="9"/>
      <c r="R35" s="9">
        <v>1</v>
      </c>
      <c r="S35" s="10">
        <f>IF(N35&gt;0,TODAY()-N35,"")</f>
        <v>385</v>
      </c>
    </row>
    <row r="36" ht="17" customHeight="1" spans="1:19" x14ac:dyDescent="0.25">
      <c r="A36" s="11" t="s">
        <v>20</v>
      </c>
      <c r="B36" s="11" t="s">
        <v>47</v>
      </c>
      <c r="C36" s="11" t="s">
        <v>95</v>
      </c>
      <c r="D36" s="11" t="s">
        <v>96</v>
      </c>
      <c r="E36" s="12">
        <v>2371</v>
      </c>
      <c r="F36" s="13">
        <v>124.40615773935049</v>
      </c>
      <c r="G36" s="14">
        <v>45672</v>
      </c>
      <c r="H36" s="13">
        <v>184</v>
      </c>
      <c r="I36" s="15" t="s">
        <v>60</v>
      </c>
      <c r="J36" s="13">
        <v>90</v>
      </c>
      <c r="K36" s="25">
        <f>IF(AND(H36&gt;0,J36&gt;0),(J36-H36)/H36,"")</f>
        <v>-0.5108695652173914</v>
      </c>
      <c r="L36" s="13">
        <v>95</v>
      </c>
      <c r="M36" s="17">
        <f>IF(AND(J36&gt;0,L36&gt;0),(L36-J36)/J36,IF(AND(H36&gt;0,L36&gt;0),(L36-H36)/H36,""))</f>
        <v>0.05555555555555555</v>
      </c>
      <c r="N36" s="14">
        <v>46090</v>
      </c>
      <c r="O36" s="13">
        <v>95</v>
      </c>
      <c r="P36" s="17">
        <f>IF(AND(L36&gt;0,O36&gt;0),(O36-L36)/L36,"")</f>
        <v>0</v>
      </c>
      <c r="Q36" s="18">
        <v>38</v>
      </c>
      <c r="R36" s="18">
        <v>12</v>
      </c>
      <c r="S36" s="18">
        <f>IF(N36&gt;0,TODAY()-N36,"")</f>
        <v>21</v>
      </c>
    </row>
    <row r="37" ht="17" customHeight="1" spans="1:19" x14ac:dyDescent="0.25">
      <c r="A37" s="3" t="s">
        <v>20</v>
      </c>
      <c r="B37" s="3" t="s">
        <v>47</v>
      </c>
      <c r="C37" s="3" t="s">
        <v>97</v>
      </c>
      <c r="D37" s="3" t="s">
        <v>98</v>
      </c>
      <c r="E37" s="4">
        <v>107.8</v>
      </c>
      <c r="F37" s="5">
        <v>484.2102040816327</v>
      </c>
      <c r="G37" s="6">
        <v>45756</v>
      </c>
      <c r="H37" s="5">
        <v>475.69</v>
      </c>
      <c r="I37" s="7" t="s">
        <v>24</v>
      </c>
      <c r="J37" s="5"/>
      <c r="K37" s="8" t="str">
        <f>IF(AND(H37&gt;0,J37&gt;0),(J37-H37)/H37,"")</f>
        <v/>
      </c>
      <c r="L37" s="5"/>
      <c r="M37" s="8" t="str">
        <f>IF(AND(J37&gt;0,L37&gt;0),(L37-J37)/J37,IF(AND(H37&gt;0,L37&gt;0),(L37-H37)/H37,""))</f>
        <v/>
      </c>
      <c r="N37" s="6">
        <v>45819</v>
      </c>
      <c r="O37" s="5">
        <v>490.75</v>
      </c>
      <c r="P37" s="8" t="str">
        <f>IF(AND(L37&gt;0,O37&gt;0),(O37-L37)/L37,"")</f>
        <v/>
      </c>
      <c r="Q37" s="9">
        <v>63</v>
      </c>
      <c r="R37" s="9">
        <v>2</v>
      </c>
      <c r="S37" s="10">
        <f>IF(N37&gt;0,TODAY()-N37,"")</f>
        <v>292</v>
      </c>
    </row>
    <row r="38" ht="17" customHeight="1" spans="1:19" x14ac:dyDescent="0.25">
      <c r="A38" s="11" t="s">
        <v>20</v>
      </c>
      <c r="B38" s="11" t="s">
        <v>47</v>
      </c>
      <c r="C38" s="11" t="s">
        <v>99</v>
      </c>
      <c r="D38" s="11" t="s">
        <v>100</v>
      </c>
      <c r="E38" s="12">
        <v>15</v>
      </c>
      <c r="F38" s="13">
        <v>246.14066666666668</v>
      </c>
      <c r="G38" s="14">
        <v>45705</v>
      </c>
      <c r="H38" s="13">
        <v>246.14</v>
      </c>
      <c r="I38" s="15" t="s">
        <v>24</v>
      </c>
      <c r="J38" s="13"/>
      <c r="K38" s="16" t="str">
        <f>IF(AND(H38&gt;0,J38&gt;0),(J38-H38)/H38,"")</f>
        <v/>
      </c>
      <c r="L38" s="13"/>
      <c r="M38" s="16" t="str">
        <f>IF(AND(J38&gt;0,L38&gt;0),(L38-J38)/J38,IF(AND(H38&gt;0,L38&gt;0),(L38-H38)/H38,""))</f>
        <v/>
      </c>
      <c r="N38" s="14">
        <v>45705</v>
      </c>
      <c r="O38" s="13">
        <v>246.14</v>
      </c>
      <c r="P38" s="16" t="str">
        <f>IF(AND(L38&gt;0,O38&gt;0),(O38-L38)/L38,"")</f>
        <v/>
      </c>
      <c r="Q38" s="18"/>
      <c r="R38" s="18">
        <v>1</v>
      </c>
      <c r="S38" s="10">
        <f>IF(N38&gt;0,TODAY()-N38,"")</f>
        <v>406</v>
      </c>
    </row>
    <row r="39" ht="17" customHeight="1" spans="1:19" x14ac:dyDescent="0.25">
      <c r="A39" s="3" t="s">
        <v>20</v>
      </c>
      <c r="B39" s="3" t="s">
        <v>47</v>
      </c>
      <c r="C39" s="3" t="s">
        <v>101</v>
      </c>
      <c r="D39" s="3" t="s">
        <v>102</v>
      </c>
      <c r="E39" s="4">
        <v>19</v>
      </c>
      <c r="F39" s="5">
        <v>1273.5263157894738</v>
      </c>
      <c r="G39" s="6">
        <v>45938</v>
      </c>
      <c r="H39" s="5">
        <v>1133</v>
      </c>
      <c r="I39" s="7" t="s">
        <v>57</v>
      </c>
      <c r="J39" s="5">
        <v>1133</v>
      </c>
      <c r="K39" s="24">
        <f>IF(AND(H39&gt;0,J39&gt;0),(J39-H39)/H39,"")</f>
        <v>0</v>
      </c>
      <c r="L39" s="5">
        <v>1400</v>
      </c>
      <c r="M39" s="22">
        <f>IF(AND(J39&gt;0,L39&gt;0),(L39-J39)/J39,IF(AND(H39&gt;0,L39&gt;0),(L39-H39)/H39,""))</f>
        <v>0.235657546337158</v>
      </c>
      <c r="N39" s="6">
        <v>46031</v>
      </c>
      <c r="O39" s="5">
        <v>1400</v>
      </c>
      <c r="P39" s="8" t="str">
        <f>IF(AND(L39&gt;0,O39&gt;0),(O39-L39)/L39,"")</f>
        <v/>
      </c>
      <c r="Q39" s="9">
        <v>93</v>
      </c>
      <c r="R39" s="9">
        <v>2</v>
      </c>
      <c r="S39" s="19">
        <f>IF(N39&gt;0,TODAY()-N39,"")</f>
        <v>80</v>
      </c>
    </row>
    <row r="40" ht="17" customHeight="1" spans="1:19" x14ac:dyDescent="0.25">
      <c r="A40" s="11" t="s">
        <v>20</v>
      </c>
      <c r="B40" s="11" t="s">
        <v>47</v>
      </c>
      <c r="C40" s="11" t="s">
        <v>103</v>
      </c>
      <c r="D40" s="11" t="s">
        <v>104</v>
      </c>
      <c r="E40" s="12">
        <v>5</v>
      </c>
      <c r="F40" s="13">
        <v>559</v>
      </c>
      <c r="G40" s="14">
        <v>46049</v>
      </c>
      <c r="H40" s="13">
        <v>559</v>
      </c>
      <c r="I40" s="15" t="s">
        <v>24</v>
      </c>
      <c r="J40" s="13"/>
      <c r="K40" s="16" t="str">
        <f>IF(AND(H40&gt;0,J40&gt;0),(J40-H40)/H40,"")</f>
        <v/>
      </c>
      <c r="L40" s="13">
        <v>559</v>
      </c>
      <c r="M40" s="17">
        <f>IF(AND(J40&gt;0,L40&gt;0),(L40-J40)/J40,IF(AND(H40&gt;0,L40&gt;0),(L40-H40)/H40,""))</f>
        <v>0</v>
      </c>
      <c r="N40" s="14">
        <v>46049</v>
      </c>
      <c r="O40" s="13">
        <v>559</v>
      </c>
      <c r="P40" s="16" t="str">
        <f>IF(AND(L40&gt;0,O40&gt;0),(O40-L40)/L40,"")</f>
        <v/>
      </c>
      <c r="Q40" s="18"/>
      <c r="R40" s="18">
        <v>1</v>
      </c>
      <c r="S40" s="19">
        <f>IF(N40&gt;0,TODAY()-N40,"")</f>
        <v>62</v>
      </c>
    </row>
    <row r="41" ht="17" customHeight="1" spans="1:19" x14ac:dyDescent="0.25">
      <c r="A41" s="3" t="s">
        <v>20</v>
      </c>
      <c r="B41" s="3" t="s">
        <v>47</v>
      </c>
      <c r="C41" s="3" t="s">
        <v>105</v>
      </c>
      <c r="D41" s="3" t="s">
        <v>106</v>
      </c>
      <c r="E41" s="4">
        <v>36</v>
      </c>
      <c r="F41" s="5">
        <v>829.8055555555555</v>
      </c>
      <c r="G41" s="6">
        <v>45789</v>
      </c>
      <c r="H41" s="5">
        <v>840</v>
      </c>
      <c r="I41" s="7" t="s">
        <v>57</v>
      </c>
      <c r="J41" s="5">
        <v>826</v>
      </c>
      <c r="K41" s="26">
        <f>IF(AND(H41&gt;0,J41&gt;0),(J41-H41)/H41,"")</f>
        <v>-0.016666666666666666</v>
      </c>
      <c r="L41" s="5">
        <v>932</v>
      </c>
      <c r="M41" s="22">
        <f>IF(AND(J41&gt;0,L41&gt;0),(L41-J41)/J41,IF(AND(H41&gt;0,L41&gt;0),(L41-H41)/H41,""))</f>
        <v>0.12832929782082325</v>
      </c>
      <c r="N41" s="6">
        <v>46049</v>
      </c>
      <c r="O41" s="5">
        <v>932</v>
      </c>
      <c r="P41" s="8" t="str">
        <f>IF(AND(L41&gt;0,O41&gt;0),(O41-L41)/L41,"")</f>
        <v/>
      </c>
      <c r="Q41" s="9">
        <v>65</v>
      </c>
      <c r="R41" s="9">
        <v>5</v>
      </c>
      <c r="S41" s="19">
        <f>IF(N41&gt;0,TODAY()-N41,"")</f>
        <v>62</v>
      </c>
    </row>
    <row r="42" ht="17" customHeight="1" spans="1:19" x14ac:dyDescent="0.25">
      <c r="A42" s="11" t="s">
        <v>20</v>
      </c>
      <c r="B42" s="11" t="s">
        <v>47</v>
      </c>
      <c r="C42" s="11" t="s">
        <v>107</v>
      </c>
      <c r="D42" s="11" t="s">
        <v>108</v>
      </c>
      <c r="E42" s="12">
        <v>143</v>
      </c>
      <c r="F42" s="13">
        <v>1347.4965034965035</v>
      </c>
      <c r="G42" s="14">
        <v>45692</v>
      </c>
      <c r="H42" s="13">
        <v>1344</v>
      </c>
      <c r="I42" s="15" t="s">
        <v>57</v>
      </c>
      <c r="J42" s="13">
        <v>1344</v>
      </c>
      <c r="K42" s="17">
        <f>IF(AND(H42&gt;0,J42&gt;0),(J42-H42)/H42,"")</f>
        <v>0</v>
      </c>
      <c r="L42" s="13"/>
      <c r="M42" s="16" t="str">
        <f>IF(AND(J42&gt;0,L42&gt;0),(L42-J42)/J42,IF(AND(H42&gt;0,L42&gt;0),(L42-H42)/H42,""))</f>
        <v/>
      </c>
      <c r="N42" s="14">
        <v>45938</v>
      </c>
      <c r="O42" s="13">
        <v>1344</v>
      </c>
      <c r="P42" s="16" t="str">
        <f>IF(AND(L42&gt;0,O42&gt;0),(O42-L42)/L42,"")</f>
        <v/>
      </c>
      <c r="Q42" s="18">
        <v>41</v>
      </c>
      <c r="R42" s="18">
        <v>7</v>
      </c>
      <c r="S42" s="21">
        <f>IF(N42&gt;0,TODAY()-N42,"")</f>
        <v>173</v>
      </c>
    </row>
    <row r="43" ht="17" customHeight="1" spans="1:19" x14ac:dyDescent="0.25">
      <c r="A43" s="3" t="s">
        <v>20</v>
      </c>
      <c r="B43" s="3" t="s">
        <v>47</v>
      </c>
      <c r="C43" s="3" t="s">
        <v>109</v>
      </c>
      <c r="D43" s="3" t="s">
        <v>110</v>
      </c>
      <c r="E43" s="4">
        <v>169</v>
      </c>
      <c r="F43" s="5">
        <v>82.58739644970414</v>
      </c>
      <c r="G43" s="6">
        <v>45741</v>
      </c>
      <c r="H43" s="5">
        <v>80</v>
      </c>
      <c r="I43" s="7" t="s">
        <v>24</v>
      </c>
      <c r="J43" s="5"/>
      <c r="K43" s="8" t="str">
        <f>IF(AND(H43&gt;0,J43&gt;0),(J43-H43)/H43,"")</f>
        <v/>
      </c>
      <c r="L43" s="5"/>
      <c r="M43" s="8" t="str">
        <f>IF(AND(J43&gt;0,L43&gt;0),(L43-J43)/J43,IF(AND(H43&gt;0,L43&gt;0),(L43-H43)/H43,""))</f>
        <v/>
      </c>
      <c r="N43" s="6">
        <v>46078</v>
      </c>
      <c r="O43" s="5">
        <v>100</v>
      </c>
      <c r="P43" s="23">
        <f>IF(AND(L43&gt;0,O43&gt;0),(O43-L43)/L43,"")</f>
        <v>0.25</v>
      </c>
      <c r="Q43" s="9">
        <v>169</v>
      </c>
      <c r="R43" s="9">
        <v>3</v>
      </c>
      <c r="S43" s="9">
        <f>IF(N43&gt;0,TODAY()-N43,"")</f>
        <v>33</v>
      </c>
    </row>
    <row r="44" ht="17" customHeight="1" spans="1:19" x14ac:dyDescent="0.25">
      <c r="A44" s="11" t="s">
        <v>20</v>
      </c>
      <c r="B44" s="11" t="s">
        <v>47</v>
      </c>
      <c r="C44" s="11" t="s">
        <v>111</v>
      </c>
      <c r="D44" s="11" t="s">
        <v>112</v>
      </c>
      <c r="E44" s="12">
        <v>296</v>
      </c>
      <c r="F44" s="13">
        <v>104.05405405405405</v>
      </c>
      <c r="G44" s="14">
        <v>45741</v>
      </c>
      <c r="H44" s="13">
        <v>100</v>
      </c>
      <c r="I44" s="15" t="s">
        <v>57</v>
      </c>
      <c r="J44" s="13">
        <v>100</v>
      </c>
      <c r="K44" s="17">
        <f>IF(AND(H44&gt;0,J44&gt;0),(J44-H44)/H44,"")</f>
        <v>0</v>
      </c>
      <c r="L44" s="13"/>
      <c r="M44" s="16" t="str">
        <f>IF(AND(J44&gt;0,L44&gt;0),(L44-J44)/J44,IF(AND(H44&gt;0,L44&gt;0),(L44-H44)/H44,""))</f>
        <v/>
      </c>
      <c r="N44" s="14">
        <v>46078</v>
      </c>
      <c r="O44" s="13">
        <v>120</v>
      </c>
      <c r="P44" s="20">
        <f>IF(AND(L44&gt;0,O44&gt;0),(O44-L44)/L44,"")</f>
        <v>0.2</v>
      </c>
      <c r="Q44" s="18">
        <v>112</v>
      </c>
      <c r="R44" s="18">
        <v>4</v>
      </c>
      <c r="S44" s="18">
        <f>IF(N44&gt;0,TODAY()-N44,"")</f>
        <v>33</v>
      </c>
    </row>
    <row r="45" ht="17" customHeight="1" spans="1:19" x14ac:dyDescent="0.25">
      <c r="A45" s="3" t="s">
        <v>20</v>
      </c>
      <c r="B45" s="3" t="s">
        <v>47</v>
      </c>
      <c r="C45" s="3" t="s">
        <v>113</v>
      </c>
      <c r="D45" s="3" t="s">
        <v>114</v>
      </c>
      <c r="E45" s="4">
        <v>9</v>
      </c>
      <c r="F45" s="5">
        <v>130</v>
      </c>
      <c r="G45" s="6">
        <v>45804</v>
      </c>
      <c r="H45" s="5">
        <v>130</v>
      </c>
      <c r="I45" s="7" t="s">
        <v>24</v>
      </c>
      <c r="J45" s="5"/>
      <c r="K45" s="8" t="str">
        <f>IF(AND(H45&gt;0,J45&gt;0),(J45-H45)/H45,"")</f>
        <v/>
      </c>
      <c r="L45" s="5"/>
      <c r="M45" s="8" t="str">
        <f>IF(AND(J45&gt;0,L45&gt;0),(L45-J45)/J45,IF(AND(H45&gt;0,L45&gt;0),(L45-H45)/H45,""))</f>
        <v/>
      </c>
      <c r="N45" s="6">
        <v>45804</v>
      </c>
      <c r="O45" s="5">
        <v>130</v>
      </c>
      <c r="P45" s="8" t="str">
        <f>IF(AND(L45&gt;0,O45&gt;0),(O45-L45)/L45,"")</f>
        <v/>
      </c>
      <c r="Q45" s="9"/>
      <c r="R45" s="9">
        <v>1</v>
      </c>
      <c r="S45" s="10">
        <f>IF(N45&gt;0,TODAY()-N45,"")</f>
        <v>307</v>
      </c>
    </row>
    <row r="46" ht="17" customHeight="1" spans="1:19" x14ac:dyDescent="0.25">
      <c r="A46" s="11" t="s">
        <v>20</v>
      </c>
      <c r="B46" s="11" t="s">
        <v>47</v>
      </c>
      <c r="C46" s="11" t="s">
        <v>115</v>
      </c>
      <c r="D46" s="11" t="s">
        <v>116</v>
      </c>
      <c r="E46" s="12">
        <v>215.9</v>
      </c>
      <c r="F46" s="13">
        <v>50.80824455766558</v>
      </c>
      <c r="G46" s="14">
        <v>45980</v>
      </c>
      <c r="H46" s="13">
        <v>50.81</v>
      </c>
      <c r="I46" s="15" t="s">
        <v>60</v>
      </c>
      <c r="J46" s="13">
        <v>50.81</v>
      </c>
      <c r="K46" s="17">
        <f>IF(AND(H46&gt;0,J46&gt;0),(J46-H46)/H46,"")</f>
        <v>0</v>
      </c>
      <c r="L46" s="13"/>
      <c r="M46" s="16" t="str">
        <f>IF(AND(J46&gt;0,L46&gt;0),(L46-J46)/J46,IF(AND(H46&gt;0,L46&gt;0),(L46-H46)/H46,""))</f>
        <v/>
      </c>
      <c r="N46" s="14">
        <v>45980</v>
      </c>
      <c r="O46" s="13">
        <v>50.81</v>
      </c>
      <c r="P46" s="16" t="str">
        <f>IF(AND(L46&gt;0,O46&gt;0),(O46-L46)/L46,"")</f>
        <v/>
      </c>
      <c r="Q46" s="18"/>
      <c r="R46" s="18">
        <v>1</v>
      </c>
      <c r="S46" s="21">
        <f>IF(N46&gt;0,TODAY()-N46,"")</f>
        <v>131</v>
      </c>
    </row>
    <row r="47" ht="17" customHeight="1" spans="1:19" x14ac:dyDescent="0.25">
      <c r="A47" s="3" t="s">
        <v>20</v>
      </c>
      <c r="B47" s="3" t="s">
        <v>117</v>
      </c>
      <c r="C47" s="3" t="s">
        <v>118</v>
      </c>
      <c r="D47" s="3" t="s">
        <v>119</v>
      </c>
      <c r="E47" s="4">
        <v>100</v>
      </c>
      <c r="F47" s="5">
        <v>112.227</v>
      </c>
      <c r="G47" s="6">
        <v>45701</v>
      </c>
      <c r="H47" s="5">
        <v>112.23</v>
      </c>
      <c r="I47" s="7" t="s">
        <v>24</v>
      </c>
      <c r="J47" s="5"/>
      <c r="K47" s="8" t="str">
        <f>IF(AND(H47&gt;0,J47&gt;0),(J47-H47)/H47,"")</f>
        <v/>
      </c>
      <c r="L47" s="5"/>
      <c r="M47" s="8" t="str">
        <f>IF(AND(J47&gt;0,L47&gt;0),(L47-J47)/J47,IF(AND(H47&gt;0,L47&gt;0),(L47-H47)/H47,""))</f>
        <v/>
      </c>
      <c r="N47" s="6">
        <v>45701</v>
      </c>
      <c r="O47" s="5">
        <v>112.23</v>
      </c>
      <c r="P47" s="8" t="str">
        <f>IF(AND(L47&gt;0,O47&gt;0),(O47-L47)/L47,"")</f>
        <v/>
      </c>
      <c r="Q47" s="9"/>
      <c r="R47" s="9">
        <v>1</v>
      </c>
      <c r="S47" s="10">
        <f>IF(N47&gt;0,TODAY()-N47,"")</f>
        <v>410</v>
      </c>
    </row>
    <row r="48" ht="17" customHeight="1" spans="1:19" x14ac:dyDescent="0.25">
      <c r="A48" s="11" t="s">
        <v>20</v>
      </c>
      <c r="B48" s="11" t="s">
        <v>117</v>
      </c>
      <c r="C48" s="11" t="s">
        <v>120</v>
      </c>
      <c r="D48" s="11" t="s">
        <v>121</v>
      </c>
      <c r="E48" s="12">
        <v>9</v>
      </c>
      <c r="F48" s="13">
        <v>5176.498134266312</v>
      </c>
      <c r="G48" s="14">
        <v>45845</v>
      </c>
      <c r="H48" s="13">
        <v>5158.24</v>
      </c>
      <c r="I48" s="15" t="s">
        <v>24</v>
      </c>
      <c r="J48" s="13"/>
      <c r="K48" s="16" t="str">
        <f>IF(AND(H48&gt;0,J48&gt;0),(J48-H48)/H48,"")</f>
        <v/>
      </c>
      <c r="L48" s="13"/>
      <c r="M48" s="16" t="str">
        <f>IF(AND(J48&gt;0,L48&gt;0),(L48-J48)/J48,IF(AND(H48&gt;0,L48&gt;0),(L48-H48)/H48,""))</f>
        <v/>
      </c>
      <c r="N48" s="14">
        <v>45860</v>
      </c>
      <c r="O48" s="13">
        <v>5240.4</v>
      </c>
      <c r="P48" s="16" t="str">
        <f>IF(AND(L48&gt;0,O48&gt;0),(O48-L48)/L48,"")</f>
        <v/>
      </c>
      <c r="Q48" s="18">
        <v>15</v>
      </c>
      <c r="R48" s="18">
        <v>2</v>
      </c>
      <c r="S48" s="10">
        <f>IF(N48&gt;0,TODAY()-N48,"")</f>
        <v>251</v>
      </c>
    </row>
    <row r="49" ht="17" customHeight="1" spans="1:19" x14ac:dyDescent="0.25">
      <c r="A49" s="3" t="s">
        <v>20</v>
      </c>
      <c r="B49" s="3" t="s">
        <v>117</v>
      </c>
      <c r="C49" s="3" t="s">
        <v>122</v>
      </c>
      <c r="D49" s="3" t="s">
        <v>123</v>
      </c>
      <c r="E49" s="4">
        <v>15</v>
      </c>
      <c r="F49" s="5">
        <v>5542.811333333333</v>
      </c>
      <c r="G49" s="6">
        <v>45721</v>
      </c>
      <c r="H49" s="5">
        <v>5576</v>
      </c>
      <c r="I49" s="7" t="s">
        <v>24</v>
      </c>
      <c r="J49" s="5"/>
      <c r="K49" s="8" t="str">
        <f>IF(AND(H49&gt;0,J49&gt;0),(J49-H49)/H49,"")</f>
        <v/>
      </c>
      <c r="L49" s="5"/>
      <c r="M49" s="8" t="str">
        <f>IF(AND(J49&gt;0,L49&gt;0),(L49-J49)/J49,IF(AND(H49&gt;0,L49&gt;0),(L49-H49)/H49,""))</f>
        <v/>
      </c>
      <c r="N49" s="6">
        <v>45911</v>
      </c>
      <c r="O49" s="5">
        <v>5602.5</v>
      </c>
      <c r="P49" s="8" t="str">
        <f>IF(AND(L49&gt;0,O49&gt;0),(O49-L49)/L49,"")</f>
        <v/>
      </c>
      <c r="Q49" s="9">
        <v>32</v>
      </c>
      <c r="R49" s="9">
        <v>7</v>
      </c>
      <c r="S49" s="10">
        <f>IF(N49&gt;0,TODAY()-N49,"")</f>
        <v>200</v>
      </c>
    </row>
    <row r="50" ht="17" customHeight="1" spans="1:19" x14ac:dyDescent="0.25">
      <c r="A50" s="11" t="s">
        <v>20</v>
      </c>
      <c r="B50" s="11" t="s">
        <v>117</v>
      </c>
      <c r="C50" s="11" t="s">
        <v>124</v>
      </c>
      <c r="D50" s="11" t="s">
        <v>125</v>
      </c>
      <c r="E50" s="12">
        <v>100</v>
      </c>
      <c r="F50" s="13">
        <v>15</v>
      </c>
      <c r="G50" s="14">
        <v>45692</v>
      </c>
      <c r="H50" s="13">
        <v>15</v>
      </c>
      <c r="I50" s="15" t="s">
        <v>24</v>
      </c>
      <c r="J50" s="13"/>
      <c r="K50" s="16" t="str">
        <f>IF(AND(H50&gt;0,J50&gt;0),(J50-H50)/H50,"")</f>
        <v/>
      </c>
      <c r="L50" s="13"/>
      <c r="M50" s="16" t="str">
        <f>IF(AND(J50&gt;0,L50&gt;0),(L50-J50)/J50,IF(AND(H50&gt;0,L50&gt;0),(L50-H50)/H50,""))</f>
        <v/>
      </c>
      <c r="N50" s="14">
        <v>45692</v>
      </c>
      <c r="O50" s="13">
        <v>15</v>
      </c>
      <c r="P50" s="16" t="str">
        <f>IF(AND(L50&gt;0,O50&gt;0),(O50-L50)/L50,"")</f>
        <v/>
      </c>
      <c r="Q50" s="18"/>
      <c r="R50" s="18">
        <v>1</v>
      </c>
      <c r="S50" s="10">
        <f>IF(N50&gt;0,TODAY()-N50,"")</f>
        <v>419</v>
      </c>
    </row>
    <row r="51" ht="17" customHeight="1" spans="1:19" x14ac:dyDescent="0.25">
      <c r="A51" s="3" t="s">
        <v>20</v>
      </c>
      <c r="B51" s="3" t="s">
        <v>117</v>
      </c>
      <c r="C51" s="3" t="s">
        <v>126</v>
      </c>
      <c r="D51" s="3" t="s">
        <v>127</v>
      </c>
      <c r="E51" s="4">
        <v>100</v>
      </c>
      <c r="F51" s="5">
        <v>15</v>
      </c>
      <c r="G51" s="6">
        <v>45692</v>
      </c>
      <c r="H51" s="5">
        <v>15</v>
      </c>
      <c r="I51" s="7" t="s">
        <v>24</v>
      </c>
      <c r="J51" s="5"/>
      <c r="K51" s="8" t="str">
        <f>IF(AND(H51&gt;0,J51&gt;0),(J51-H51)/H51,"")</f>
        <v/>
      </c>
      <c r="L51" s="5"/>
      <c r="M51" s="8" t="str">
        <f>IF(AND(J51&gt;0,L51&gt;0),(L51-J51)/J51,IF(AND(H51&gt;0,L51&gt;0),(L51-H51)/H51,""))</f>
        <v/>
      </c>
      <c r="N51" s="6">
        <v>45692</v>
      </c>
      <c r="O51" s="5">
        <v>15</v>
      </c>
      <c r="P51" s="8" t="str">
        <f>IF(AND(L51&gt;0,O51&gt;0),(O51-L51)/L51,"")</f>
        <v/>
      </c>
      <c r="Q51" s="9"/>
      <c r="R51" s="9">
        <v>1</v>
      </c>
      <c r="S51" s="10">
        <f>IF(N51&gt;0,TODAY()-N51,"")</f>
        <v>419</v>
      </c>
    </row>
    <row r="52" ht="17" customHeight="1" spans="1:19" x14ac:dyDescent="0.25">
      <c r="A52" s="11" t="s">
        <v>20</v>
      </c>
      <c r="B52" s="11" t="s">
        <v>117</v>
      </c>
      <c r="C52" s="11" t="s">
        <v>128</v>
      </c>
      <c r="D52" s="11" t="s">
        <v>129</v>
      </c>
      <c r="E52" s="12">
        <v>14</v>
      </c>
      <c r="F52" s="13">
        <v>13356.495714285715</v>
      </c>
      <c r="G52" s="14">
        <v>45671</v>
      </c>
      <c r="H52" s="13">
        <v>12543.15</v>
      </c>
      <c r="I52" s="15" t="s">
        <v>24</v>
      </c>
      <c r="J52" s="13"/>
      <c r="K52" s="16" t="str">
        <f>IF(AND(H52&gt;0,J52&gt;0),(J52-H52)/H52,"")</f>
        <v/>
      </c>
      <c r="L52" s="13">
        <v>14629.85</v>
      </c>
      <c r="M52" s="20">
        <f>IF(AND(J52&gt;0,L52&gt;0),(L52-J52)/J52,IF(AND(H52&gt;0,L52&gt;0),(L52-H52)/H52,""))</f>
        <v>0.16636171934482175</v>
      </c>
      <c r="N52" s="14">
        <v>46086</v>
      </c>
      <c r="O52" s="13">
        <v>14666</v>
      </c>
      <c r="P52" s="17">
        <f>IF(AND(L52&gt;0,O52&gt;0),(O52-L52)/L52,"")</f>
        <v>0.0024709754372054145</v>
      </c>
      <c r="Q52" s="18">
        <v>83</v>
      </c>
      <c r="R52" s="18">
        <v>6</v>
      </c>
      <c r="S52" s="18">
        <f>IF(N52&gt;0,TODAY()-N52,"")</f>
        <v>25</v>
      </c>
    </row>
    <row r="53" ht="17" customHeight="1" spans="1:19" x14ac:dyDescent="0.25">
      <c r="A53" s="3" t="s">
        <v>20</v>
      </c>
      <c r="B53" s="3" t="s">
        <v>117</v>
      </c>
      <c r="C53" s="3" t="s">
        <v>130</v>
      </c>
      <c r="D53" s="3" t="s">
        <v>131</v>
      </c>
      <c r="E53" s="4">
        <v>24</v>
      </c>
      <c r="F53" s="5">
        <v>21158.26166666667</v>
      </c>
      <c r="G53" s="6">
        <v>45691</v>
      </c>
      <c r="H53" s="5">
        <v>18417.6</v>
      </c>
      <c r="I53" s="7" t="s">
        <v>54</v>
      </c>
      <c r="J53" s="5">
        <v>21745.83</v>
      </c>
      <c r="K53" s="22">
        <f>IF(AND(H53&gt;0,J53&gt;0),(J53-H53)/H53,"")</f>
        <v>0.1807092129267659</v>
      </c>
      <c r="L53" s="5">
        <v>22457.19</v>
      </c>
      <c r="M53" s="24">
        <f>IF(AND(J53&gt;0,L53&gt;0),(L53-J53)/J53,IF(AND(H53&gt;0,L53&gt;0),(L53-H53)/H53,""))</f>
        <v>0.03271247866832385</v>
      </c>
      <c r="N53" s="6">
        <v>46049</v>
      </c>
      <c r="O53" s="5">
        <v>22457.19</v>
      </c>
      <c r="P53" s="8" t="str">
        <f>IF(AND(L53&gt;0,O53&gt;0),(O53-L53)/L53,"")</f>
        <v/>
      </c>
      <c r="Q53" s="9">
        <v>40</v>
      </c>
      <c r="R53" s="9">
        <v>10</v>
      </c>
      <c r="S53" s="19">
        <f>IF(N53&gt;0,TODAY()-N53,"")</f>
        <v>62</v>
      </c>
    </row>
    <row r="54" ht="17" customHeight="1" spans="1:19" x14ac:dyDescent="0.25">
      <c r="A54" s="11" t="s">
        <v>20</v>
      </c>
      <c r="B54" s="11" t="s">
        <v>117</v>
      </c>
      <c r="C54" s="11" t="s">
        <v>132</v>
      </c>
      <c r="D54" s="11" t="s">
        <v>133</v>
      </c>
      <c r="E54" s="12">
        <v>71</v>
      </c>
      <c r="F54" s="13">
        <v>26475.7223943662</v>
      </c>
      <c r="G54" s="14">
        <v>45671</v>
      </c>
      <c r="H54" s="13">
        <v>22867.89</v>
      </c>
      <c r="I54" s="15" t="s">
        <v>54</v>
      </c>
      <c r="J54" s="13">
        <v>27377.08</v>
      </c>
      <c r="K54" s="20">
        <f>IF(AND(H54&gt;0,J54&gt;0),(J54-H54)/H54,"")</f>
        <v>0.19718434888395922</v>
      </c>
      <c r="L54" s="13">
        <v>28272.62</v>
      </c>
      <c r="M54" s="17">
        <f>IF(AND(J54&gt;0,L54&gt;0),(L54-J54)/J54,IF(AND(H54&gt;0,L54&gt;0),(L54-H54)/H54,""))</f>
        <v>0.0327113044926631</v>
      </c>
      <c r="N54" s="14">
        <v>46086</v>
      </c>
      <c r="O54" s="13">
        <v>28000</v>
      </c>
      <c r="P54" s="25">
        <f>IF(AND(L54&gt;0,O54&gt;0),(O54-L54)/L54,"")</f>
        <v>-0.009642544624445807</v>
      </c>
      <c r="Q54" s="18">
        <v>28</v>
      </c>
      <c r="R54" s="18">
        <v>16</v>
      </c>
      <c r="S54" s="18">
        <f>IF(N54&gt;0,TODAY()-N54,"")</f>
        <v>25</v>
      </c>
    </row>
    <row r="55" ht="17" customHeight="1" spans="1:19" x14ac:dyDescent="0.25">
      <c r="A55" s="3" t="s">
        <v>20</v>
      </c>
      <c r="B55" s="3" t="s">
        <v>117</v>
      </c>
      <c r="C55" s="3" t="s">
        <v>134</v>
      </c>
      <c r="D55" s="3" t="s">
        <v>135</v>
      </c>
      <c r="E55" s="4">
        <v>2</v>
      </c>
      <c r="F55" s="5">
        <v>36000</v>
      </c>
      <c r="G55" s="6">
        <v>45691</v>
      </c>
      <c r="H55" s="5">
        <v>36000</v>
      </c>
      <c r="I55" s="7" t="s">
        <v>24</v>
      </c>
      <c r="J55" s="5"/>
      <c r="K55" s="8" t="str">
        <f>IF(AND(H55&gt;0,J55&gt;0),(J55-H55)/H55,"")</f>
        <v/>
      </c>
      <c r="L55" s="5"/>
      <c r="M55" s="8" t="str">
        <f>IF(AND(J55&gt;0,L55&gt;0),(L55-J55)/J55,IF(AND(H55&gt;0,L55&gt;0),(L55-H55)/H55,""))</f>
        <v/>
      </c>
      <c r="N55" s="6">
        <v>45691</v>
      </c>
      <c r="O55" s="5">
        <v>36000</v>
      </c>
      <c r="P55" s="8" t="str">
        <f>IF(AND(L55&gt;0,O55&gt;0),(O55-L55)/L55,"")</f>
        <v/>
      </c>
      <c r="Q55" s="9"/>
      <c r="R55" s="9">
        <v>1</v>
      </c>
      <c r="S55" s="10">
        <f>IF(N55&gt;0,TODAY()-N55,"")</f>
        <v>420</v>
      </c>
    </row>
    <row r="56" ht="17" customHeight="1" spans="1:19" x14ac:dyDescent="0.25">
      <c r="A56" s="11" t="s">
        <v>20</v>
      </c>
      <c r="B56" s="11" t="s">
        <v>117</v>
      </c>
      <c r="C56" s="11" t="s">
        <v>136</v>
      </c>
      <c r="D56" s="11" t="s">
        <v>137</v>
      </c>
      <c r="E56" s="12">
        <v>1</v>
      </c>
      <c r="F56" s="13">
        <v>414</v>
      </c>
      <c r="G56" s="14">
        <v>45915</v>
      </c>
      <c r="H56" s="13">
        <v>414</v>
      </c>
      <c r="I56" s="15" t="s">
        <v>24</v>
      </c>
      <c r="J56" s="13"/>
      <c r="K56" s="16" t="str">
        <f>IF(AND(H56&gt;0,J56&gt;0),(J56-H56)/H56,"")</f>
        <v/>
      </c>
      <c r="L56" s="13"/>
      <c r="M56" s="16" t="str">
        <f>IF(AND(J56&gt;0,L56&gt;0),(L56-J56)/J56,IF(AND(H56&gt;0,L56&gt;0),(L56-H56)/H56,""))</f>
        <v/>
      </c>
      <c r="N56" s="14">
        <v>45915</v>
      </c>
      <c r="O56" s="13">
        <v>414</v>
      </c>
      <c r="P56" s="16" t="str">
        <f>IF(AND(L56&gt;0,O56&gt;0),(O56-L56)/L56,"")</f>
        <v/>
      </c>
      <c r="Q56" s="18"/>
      <c r="R56" s="18">
        <v>1</v>
      </c>
      <c r="S56" s="10">
        <f>IF(N56&gt;0,TODAY()-N56,"")</f>
        <v>196</v>
      </c>
    </row>
    <row r="57" ht="17" customHeight="1" spans="1:19" x14ac:dyDescent="0.25">
      <c r="A57" s="3" t="s">
        <v>20</v>
      </c>
      <c r="B57" s="3" t="s">
        <v>117</v>
      </c>
      <c r="C57" s="3" t="s">
        <v>138</v>
      </c>
      <c r="D57" s="3" t="s">
        <v>137</v>
      </c>
      <c r="E57" s="4">
        <v>55</v>
      </c>
      <c r="F57" s="5">
        <v>365.3898181818182</v>
      </c>
      <c r="G57" s="6">
        <v>45916</v>
      </c>
      <c r="H57" s="5">
        <v>332.79</v>
      </c>
      <c r="I57" s="7" t="s">
        <v>60</v>
      </c>
      <c r="J57" s="5">
        <v>352.13</v>
      </c>
      <c r="K57" s="24">
        <f>IF(AND(H57&gt;0,J57&gt;0),(J57-H57)/H57,"")</f>
        <v>0.0581147270050181</v>
      </c>
      <c r="L57" s="5">
        <v>383.33</v>
      </c>
      <c r="M57" s="24">
        <f>IF(AND(J57&gt;0,L57&gt;0),(L57-J57)/J57,IF(AND(H57&gt;0,L57&gt;0),(L57-H57)/H57,""))</f>
        <v>0.08860364070087749</v>
      </c>
      <c r="N57" s="6">
        <v>46104</v>
      </c>
      <c r="O57" s="5">
        <v>401.17</v>
      </c>
      <c r="P57" s="24">
        <f>IF(AND(L57&gt;0,O57&gt;0),(O57-L57)/L57,"")</f>
        <v>0.04653953512639249</v>
      </c>
      <c r="Q57" s="9">
        <v>47</v>
      </c>
      <c r="R57" s="9">
        <v>5</v>
      </c>
      <c r="S57" s="9">
        <f>IF(N57&gt;0,TODAY()-N57,"")</f>
        <v>7</v>
      </c>
    </row>
    <row r="58" ht="17" customHeight="1" spans="1:19" x14ac:dyDescent="0.25">
      <c r="A58" s="11" t="s">
        <v>20</v>
      </c>
      <c r="B58" s="11" t="s">
        <v>117</v>
      </c>
      <c r="C58" s="11" t="s">
        <v>139</v>
      </c>
      <c r="D58" s="11" t="s">
        <v>140</v>
      </c>
      <c r="E58" s="12">
        <v>95</v>
      </c>
      <c r="F58" s="13">
        <v>538.5307368421053</v>
      </c>
      <c r="G58" s="14">
        <v>45687</v>
      </c>
      <c r="H58" s="13">
        <v>536.67</v>
      </c>
      <c r="I58" s="15" t="s">
        <v>24</v>
      </c>
      <c r="J58" s="13"/>
      <c r="K58" s="16" t="str">
        <f>IF(AND(H58&gt;0,J58&gt;0),(J58-H58)/H58,"")</f>
        <v/>
      </c>
      <c r="L58" s="13"/>
      <c r="M58" s="16" t="str">
        <f>IF(AND(J58&gt;0,L58&gt;0),(L58-J58)/J58,IF(AND(H58&gt;0,L58&gt;0),(L58-H58)/H58,""))</f>
        <v/>
      </c>
      <c r="N58" s="14">
        <v>45875</v>
      </c>
      <c r="O58" s="13">
        <v>547.47</v>
      </c>
      <c r="P58" s="16" t="str">
        <f>IF(AND(L58&gt;0,O58&gt;0),(O58-L58)/L58,"")</f>
        <v/>
      </c>
      <c r="Q58" s="18">
        <v>27</v>
      </c>
      <c r="R58" s="18">
        <v>8</v>
      </c>
      <c r="S58" s="10">
        <f>IF(N58&gt;0,TODAY()-N58,"")</f>
        <v>236</v>
      </c>
    </row>
    <row r="59" ht="17" customHeight="1" spans="1:19" x14ac:dyDescent="0.25">
      <c r="A59" s="3" t="s">
        <v>20</v>
      </c>
      <c r="B59" s="3" t="s">
        <v>117</v>
      </c>
      <c r="C59" s="3" t="s">
        <v>141</v>
      </c>
      <c r="D59" s="3" t="s">
        <v>142</v>
      </c>
      <c r="E59" s="4">
        <v>1</v>
      </c>
      <c r="F59" s="5">
        <v>122.06</v>
      </c>
      <c r="G59" s="6">
        <v>45688</v>
      </c>
      <c r="H59" s="5">
        <v>122.06</v>
      </c>
      <c r="I59" s="7" t="s">
        <v>24</v>
      </c>
      <c r="J59" s="5"/>
      <c r="K59" s="8" t="str">
        <f>IF(AND(H59&gt;0,J59&gt;0),(J59-H59)/H59,"")</f>
        <v/>
      </c>
      <c r="L59" s="5"/>
      <c r="M59" s="8" t="str">
        <f>IF(AND(J59&gt;0,L59&gt;0),(L59-J59)/J59,IF(AND(H59&gt;0,L59&gt;0),(L59-H59)/H59,""))</f>
        <v/>
      </c>
      <c r="N59" s="6">
        <v>45688</v>
      </c>
      <c r="O59" s="5">
        <v>122.06</v>
      </c>
      <c r="P59" s="8" t="str">
        <f>IF(AND(L59&gt;0,O59&gt;0),(O59-L59)/L59,"")</f>
        <v/>
      </c>
      <c r="Q59" s="9"/>
      <c r="R59" s="9">
        <v>1</v>
      </c>
      <c r="S59" s="10">
        <f>IF(N59&gt;0,TODAY()-N59,"")</f>
        <v>423</v>
      </c>
    </row>
    <row r="60" ht="17" customHeight="1" spans="1:19" x14ac:dyDescent="0.25">
      <c r="A60" s="11" t="s">
        <v>20</v>
      </c>
      <c r="B60" s="11" t="s">
        <v>117</v>
      </c>
      <c r="C60" s="11" t="s">
        <v>143</v>
      </c>
      <c r="D60" s="11" t="s">
        <v>144</v>
      </c>
      <c r="E60" s="12">
        <v>1</v>
      </c>
      <c r="F60" s="13">
        <v>6406.28</v>
      </c>
      <c r="G60" s="14">
        <v>46009</v>
      </c>
      <c r="H60" s="13">
        <v>6406.28</v>
      </c>
      <c r="I60" s="15" t="s">
        <v>54</v>
      </c>
      <c r="J60" s="13">
        <v>6406.28</v>
      </c>
      <c r="K60" s="17">
        <f>IF(AND(H60&gt;0,J60&gt;0),(J60-H60)/H60,"")</f>
        <v>0</v>
      </c>
      <c r="L60" s="13"/>
      <c r="M60" s="16" t="str">
        <f>IF(AND(J60&gt;0,L60&gt;0),(L60-J60)/J60,IF(AND(H60&gt;0,L60&gt;0),(L60-H60)/H60,""))</f>
        <v/>
      </c>
      <c r="N60" s="14">
        <v>46009</v>
      </c>
      <c r="O60" s="13">
        <v>6406.28</v>
      </c>
      <c r="P60" s="16" t="str">
        <f>IF(AND(L60&gt;0,O60&gt;0),(O60-L60)/L60,"")</f>
        <v/>
      </c>
      <c r="Q60" s="18"/>
      <c r="R60" s="18">
        <v>1</v>
      </c>
      <c r="S60" s="21">
        <f>IF(N60&gt;0,TODAY()-N60,"")</f>
        <v>102</v>
      </c>
    </row>
    <row r="61" ht="17" customHeight="1" spans="1:19" x14ac:dyDescent="0.25">
      <c r="A61" s="3" t="s">
        <v>20</v>
      </c>
      <c r="B61" s="3" t="s">
        <v>117</v>
      </c>
      <c r="C61" s="3" t="s">
        <v>145</v>
      </c>
      <c r="D61" s="3" t="s">
        <v>146</v>
      </c>
      <c r="E61" s="4">
        <v>15</v>
      </c>
      <c r="F61" s="5">
        <v>3486.948</v>
      </c>
      <c r="G61" s="6">
        <v>46009</v>
      </c>
      <c r="H61" s="5">
        <v>3416.68</v>
      </c>
      <c r="I61" s="7" t="s">
        <v>54</v>
      </c>
      <c r="J61" s="5">
        <v>3416.68</v>
      </c>
      <c r="K61" s="24">
        <f>IF(AND(H61&gt;0,J61&gt;0),(J61-H61)/H61,"")</f>
        <v>0</v>
      </c>
      <c r="L61" s="5">
        <v>3462.51</v>
      </c>
      <c r="M61" s="24">
        <f>IF(AND(J61&gt;0,L61&gt;0),(L61-J61)/J61,IF(AND(H61&gt;0,L61&gt;0),(L61-H61)/H61,""))</f>
        <v>0.013413606190805222</v>
      </c>
      <c r="N61" s="6">
        <v>46084</v>
      </c>
      <c r="O61" s="5">
        <v>3500</v>
      </c>
      <c r="P61" s="24">
        <f>IF(AND(L61&gt;0,O61&gt;0),(O61-L61)/L61,"")</f>
        <v>0.010827405552619278</v>
      </c>
      <c r="Q61" s="9">
        <v>38</v>
      </c>
      <c r="R61" s="9">
        <v>3</v>
      </c>
      <c r="S61" s="9">
        <f>IF(N61&gt;0,TODAY()-N61,"")</f>
        <v>27</v>
      </c>
    </row>
    <row r="62" ht="17" customHeight="1" spans="1:19" x14ac:dyDescent="0.25">
      <c r="A62" s="11" t="s">
        <v>20</v>
      </c>
      <c r="B62" s="11" t="s">
        <v>117</v>
      </c>
      <c r="C62" s="11" t="s">
        <v>147</v>
      </c>
      <c r="D62" s="11" t="s">
        <v>148</v>
      </c>
      <c r="E62" s="12">
        <v>310</v>
      </c>
      <c r="F62" s="13">
        <v>479.51612903225805</v>
      </c>
      <c r="G62" s="14">
        <v>45729</v>
      </c>
      <c r="H62" s="13">
        <v>435</v>
      </c>
      <c r="I62" s="15" t="s">
        <v>57</v>
      </c>
      <c r="J62" s="13">
        <v>530</v>
      </c>
      <c r="K62" s="20">
        <f>IF(AND(H62&gt;0,J62&gt;0),(J62-H62)/H62,"")</f>
        <v>0.21839080459770116</v>
      </c>
      <c r="L62" s="13">
        <v>550</v>
      </c>
      <c r="M62" s="17">
        <f>IF(AND(J62&gt;0,L62&gt;0),(L62-J62)/J62,IF(AND(H62&gt;0,L62&gt;0),(L62-H62)/H62,""))</f>
        <v>0.03773584905660377</v>
      </c>
      <c r="N62" s="14">
        <v>46050</v>
      </c>
      <c r="O62" s="13">
        <v>550</v>
      </c>
      <c r="P62" s="16" t="str">
        <f>IF(AND(L62&gt;0,O62&gt;0),(O62-L62)/L62,"")</f>
        <v/>
      </c>
      <c r="Q62" s="18">
        <v>64</v>
      </c>
      <c r="R62" s="18">
        <v>6</v>
      </c>
      <c r="S62" s="19">
        <f>IF(N62&gt;0,TODAY()-N62,"")</f>
        <v>61</v>
      </c>
    </row>
    <row r="63" ht="17" customHeight="1" spans="1:19" x14ac:dyDescent="0.25">
      <c r="A63" s="3" t="s">
        <v>20</v>
      </c>
      <c r="B63" s="3" t="s">
        <v>117</v>
      </c>
      <c r="C63" s="3" t="s">
        <v>149</v>
      </c>
      <c r="D63" s="3" t="s">
        <v>150</v>
      </c>
      <c r="E63" s="4">
        <v>2</v>
      </c>
      <c r="F63" s="5">
        <v>320</v>
      </c>
      <c r="G63" s="6">
        <v>45692</v>
      </c>
      <c r="H63" s="5">
        <v>320</v>
      </c>
      <c r="I63" s="7" t="s">
        <v>24</v>
      </c>
      <c r="J63" s="5"/>
      <c r="K63" s="8" t="str">
        <f>IF(AND(H63&gt;0,J63&gt;0),(J63-H63)/H63,"")</f>
        <v/>
      </c>
      <c r="L63" s="5"/>
      <c r="M63" s="8" t="str">
        <f>IF(AND(J63&gt;0,L63&gt;0),(L63-J63)/J63,IF(AND(H63&gt;0,L63&gt;0),(L63-H63)/H63,""))</f>
        <v/>
      </c>
      <c r="N63" s="6">
        <v>45692</v>
      </c>
      <c r="O63" s="5">
        <v>320</v>
      </c>
      <c r="P63" s="8" t="str">
        <f>IF(AND(L63&gt;0,O63&gt;0),(O63-L63)/L63,"")</f>
        <v/>
      </c>
      <c r="Q63" s="9"/>
      <c r="R63" s="9">
        <v>1</v>
      </c>
      <c r="S63" s="10">
        <f>IF(N63&gt;0,TODAY()-N63,"")</f>
        <v>419</v>
      </c>
    </row>
    <row r="64" ht="17" customHeight="1" spans="1:19" x14ac:dyDescent="0.25">
      <c r="A64" s="11" t="s">
        <v>20</v>
      </c>
      <c r="B64" s="11" t="s">
        <v>117</v>
      </c>
      <c r="C64" s="11" t="s">
        <v>151</v>
      </c>
      <c r="D64" s="11" t="s">
        <v>152</v>
      </c>
      <c r="E64" s="12">
        <v>304</v>
      </c>
      <c r="F64" s="13">
        <v>325.7549342105263</v>
      </c>
      <c r="G64" s="14">
        <v>45680</v>
      </c>
      <c r="H64" s="13">
        <v>270</v>
      </c>
      <c r="I64" s="15" t="s">
        <v>60</v>
      </c>
      <c r="J64" s="13">
        <v>375</v>
      </c>
      <c r="K64" s="23">
        <f>IF(AND(H64&gt;0,J64&gt;0),(J64-H64)/H64,"")</f>
        <v>0.38888888888888895</v>
      </c>
      <c r="L64" s="13">
        <v>400</v>
      </c>
      <c r="M64" s="17">
        <f>IF(AND(J64&gt;0,L64&gt;0),(L64-J64)/J64,IF(AND(H64&gt;0,L64&gt;0),(L64-H64)/H64,""))</f>
        <v>0.06666666666666667</v>
      </c>
      <c r="N64" s="14">
        <v>46104</v>
      </c>
      <c r="O64" s="13">
        <v>400</v>
      </c>
      <c r="P64" s="17">
        <f>IF(AND(L64&gt;0,O64&gt;0),(O64-L64)/L64,"")</f>
        <v>0</v>
      </c>
      <c r="Q64" s="18">
        <v>28</v>
      </c>
      <c r="R64" s="18">
        <v>16</v>
      </c>
      <c r="S64" s="18">
        <f>IF(N64&gt;0,TODAY()-N64,"")</f>
        <v>7</v>
      </c>
    </row>
    <row r="65" ht="17" customHeight="1" spans="1:19" x14ac:dyDescent="0.25">
      <c r="A65" s="3" t="s">
        <v>20</v>
      </c>
      <c r="B65" s="3" t="s">
        <v>117</v>
      </c>
      <c r="C65" s="3" t="s">
        <v>153</v>
      </c>
      <c r="D65" s="3" t="s">
        <v>154</v>
      </c>
      <c r="E65" s="4">
        <v>500</v>
      </c>
      <c r="F65" s="5">
        <v>2.772</v>
      </c>
      <c r="G65" s="6">
        <v>45776</v>
      </c>
      <c r="H65" s="5">
        <v>0.93</v>
      </c>
      <c r="I65" s="7" t="s">
        <v>24</v>
      </c>
      <c r="J65" s="5"/>
      <c r="K65" s="8" t="str">
        <f>IF(AND(H65&gt;0,J65&gt;0),(J65-H65)/H65,"")</f>
        <v/>
      </c>
      <c r="L65" s="5"/>
      <c r="M65" s="8" t="str">
        <f>IF(AND(J65&gt;0,L65&gt;0),(L65-J65)/J65,IF(AND(H65&gt;0,L65&gt;0),(L65-H65)/H65,""))</f>
        <v/>
      </c>
      <c r="N65" s="6">
        <v>46079</v>
      </c>
      <c r="O65" s="5">
        <v>4</v>
      </c>
      <c r="P65" s="23">
        <f>IF(AND(L65&gt;0,O65&gt;0),(O65-L65)/L65,"")</f>
        <v>3.301075268817204</v>
      </c>
      <c r="Q65" s="9">
        <v>303</v>
      </c>
      <c r="R65" s="9">
        <v>2</v>
      </c>
      <c r="S65" s="9">
        <f>IF(N65&gt;0,TODAY()-N65,"")</f>
        <v>32</v>
      </c>
    </row>
    <row r="66" ht="17" customHeight="1" spans="1:19" x14ac:dyDescent="0.25">
      <c r="A66" s="11" t="s">
        <v>20</v>
      </c>
      <c r="B66" s="11" t="s">
        <v>117</v>
      </c>
      <c r="C66" s="11" t="s">
        <v>155</v>
      </c>
      <c r="D66" s="11" t="s">
        <v>156</v>
      </c>
      <c r="E66" s="12">
        <v>500</v>
      </c>
      <c r="F66" s="13">
        <v>2.772</v>
      </c>
      <c r="G66" s="14">
        <v>45776</v>
      </c>
      <c r="H66" s="13">
        <v>0.93</v>
      </c>
      <c r="I66" s="15" t="s">
        <v>24</v>
      </c>
      <c r="J66" s="13"/>
      <c r="K66" s="16" t="str">
        <f>IF(AND(H66&gt;0,J66&gt;0),(J66-H66)/H66,"")</f>
        <v/>
      </c>
      <c r="L66" s="13"/>
      <c r="M66" s="16" t="str">
        <f>IF(AND(J66&gt;0,L66&gt;0),(L66-J66)/J66,IF(AND(H66&gt;0,L66&gt;0),(L66-H66)/H66,""))</f>
        <v/>
      </c>
      <c r="N66" s="14">
        <v>46079</v>
      </c>
      <c r="O66" s="13">
        <v>4</v>
      </c>
      <c r="P66" s="23">
        <f>IF(AND(L66&gt;0,O66&gt;0),(O66-L66)/L66,"")</f>
        <v>3.301075268817204</v>
      </c>
      <c r="Q66" s="18">
        <v>303</v>
      </c>
      <c r="R66" s="18">
        <v>2</v>
      </c>
      <c r="S66" s="18">
        <f>IF(N66&gt;0,TODAY()-N66,"")</f>
        <v>32</v>
      </c>
    </row>
    <row r="67" ht="17" customHeight="1" spans="1:19" x14ac:dyDescent="0.25">
      <c r="A67" s="3" t="s">
        <v>20</v>
      </c>
      <c r="B67" s="3" t="s">
        <v>117</v>
      </c>
      <c r="C67" s="3" t="s">
        <v>157</v>
      </c>
      <c r="D67" s="3" t="s">
        <v>158</v>
      </c>
      <c r="E67" s="4">
        <v>400</v>
      </c>
      <c r="F67" s="5">
        <v>4.125</v>
      </c>
      <c r="G67" s="6">
        <v>45880</v>
      </c>
      <c r="H67" s="5">
        <v>4.5</v>
      </c>
      <c r="I67" s="7" t="s">
        <v>24</v>
      </c>
      <c r="J67" s="5"/>
      <c r="K67" s="8" t="str">
        <f>IF(AND(H67&gt;0,J67&gt;0),(J67-H67)/H67,"")</f>
        <v/>
      </c>
      <c r="L67" s="5"/>
      <c r="M67" s="8" t="str">
        <f>IF(AND(J67&gt;0,L67&gt;0),(L67-J67)/J67,IF(AND(H67&gt;0,L67&gt;0),(L67-H67)/H67,""))</f>
        <v/>
      </c>
      <c r="N67" s="6">
        <v>46079</v>
      </c>
      <c r="O67" s="5">
        <v>4</v>
      </c>
      <c r="P67" s="26">
        <f>IF(AND(L67&gt;0,O67&gt;0),(O67-L67)/L67,"")</f>
        <v>-0.1111111111111111</v>
      </c>
      <c r="Q67" s="9">
        <v>199</v>
      </c>
      <c r="R67" s="9">
        <v>2</v>
      </c>
      <c r="S67" s="9">
        <f>IF(N67&gt;0,TODAY()-N67,"")</f>
        <v>32</v>
      </c>
    </row>
    <row r="68" ht="17" customHeight="1" spans="1:19" x14ac:dyDescent="0.25">
      <c r="A68" s="11" t="s">
        <v>20</v>
      </c>
      <c r="B68" s="11" t="s">
        <v>117</v>
      </c>
      <c r="C68" s="11" t="s">
        <v>159</v>
      </c>
      <c r="D68" s="11" t="s">
        <v>160</v>
      </c>
      <c r="E68" s="12">
        <v>300</v>
      </c>
      <c r="F68" s="13">
        <v>4</v>
      </c>
      <c r="G68" s="14">
        <v>46079</v>
      </c>
      <c r="H68" s="13">
        <v>4</v>
      </c>
      <c r="I68" s="15" t="s">
        <v>24</v>
      </c>
      <c r="J68" s="13"/>
      <c r="K68" s="16" t="str">
        <f>IF(AND(H68&gt;0,J68&gt;0),(J68-H68)/H68,"")</f>
        <v/>
      </c>
      <c r="L68" s="13"/>
      <c r="M68" s="16" t="str">
        <f>IF(AND(J68&gt;0,L68&gt;0),(L68-J68)/J68,IF(AND(H68&gt;0,L68&gt;0),(L68-H68)/H68,""))</f>
        <v/>
      </c>
      <c r="N68" s="14">
        <v>46079</v>
      </c>
      <c r="O68" s="13">
        <v>4</v>
      </c>
      <c r="P68" s="17">
        <f>IF(AND(L68&gt;0,O68&gt;0),(O68-L68)/L68,"")</f>
        <v>0</v>
      </c>
      <c r="Q68" s="18"/>
      <c r="R68" s="18">
        <v>1</v>
      </c>
      <c r="S68" s="18">
        <f>IF(N68&gt;0,TODAY()-N68,"")</f>
        <v>32</v>
      </c>
    </row>
    <row r="69" ht="17" customHeight="1" spans="1:19" x14ac:dyDescent="0.25">
      <c r="A69" s="3" t="s">
        <v>20</v>
      </c>
      <c r="B69" s="3" t="s">
        <v>117</v>
      </c>
      <c r="C69" s="3" t="s">
        <v>161</v>
      </c>
      <c r="D69" s="3" t="s">
        <v>162</v>
      </c>
      <c r="E69" s="4">
        <v>400</v>
      </c>
      <c r="F69" s="5">
        <v>3.2325</v>
      </c>
      <c r="G69" s="6">
        <v>45945</v>
      </c>
      <c r="H69" s="5">
        <v>0.93</v>
      </c>
      <c r="I69" s="7" t="s">
        <v>57</v>
      </c>
      <c r="J69" s="5">
        <v>0.93</v>
      </c>
      <c r="K69" s="24">
        <f>IF(AND(H69&gt;0,J69&gt;0),(J69-H69)/H69,"")</f>
        <v>0</v>
      </c>
      <c r="L69" s="5"/>
      <c r="M69" s="8" t="str">
        <f>IF(AND(J69&gt;0,L69&gt;0),(L69-J69)/J69,IF(AND(H69&gt;0,L69&gt;0),(L69-H69)/H69,""))</f>
        <v/>
      </c>
      <c r="N69" s="6">
        <v>46079</v>
      </c>
      <c r="O69" s="5">
        <v>4</v>
      </c>
      <c r="P69" s="23">
        <f>IF(AND(L69&gt;0,O69&gt;0),(O69-L69)/L69,"")</f>
        <v>3.301075268817204</v>
      </c>
      <c r="Q69" s="9">
        <v>134</v>
      </c>
      <c r="R69" s="9">
        <v>2</v>
      </c>
      <c r="S69" s="9">
        <f>IF(N69&gt;0,TODAY()-N69,"")</f>
        <v>32</v>
      </c>
    </row>
    <row r="70" ht="17" customHeight="1" spans="1:19" x14ac:dyDescent="0.25">
      <c r="A70" s="11" t="s">
        <v>20</v>
      </c>
      <c r="B70" s="11" t="s">
        <v>117</v>
      </c>
      <c r="C70" s="11" t="s">
        <v>163</v>
      </c>
      <c r="D70" s="11" t="s">
        <v>164</v>
      </c>
      <c r="E70" s="12">
        <v>500</v>
      </c>
      <c r="F70" s="13">
        <v>3.95</v>
      </c>
      <c r="G70" s="14">
        <v>45797</v>
      </c>
      <c r="H70" s="13">
        <v>3.95</v>
      </c>
      <c r="I70" s="15" t="s">
        <v>24</v>
      </c>
      <c r="J70" s="13"/>
      <c r="K70" s="16" t="str">
        <f>IF(AND(H70&gt;0,J70&gt;0),(J70-H70)/H70,"")</f>
        <v/>
      </c>
      <c r="L70" s="13"/>
      <c r="M70" s="16" t="str">
        <f>IF(AND(J70&gt;0,L70&gt;0),(L70-J70)/J70,IF(AND(H70&gt;0,L70&gt;0),(L70-H70)/H70,""))</f>
        <v/>
      </c>
      <c r="N70" s="14">
        <v>45797</v>
      </c>
      <c r="O70" s="13">
        <v>3.95</v>
      </c>
      <c r="P70" s="16" t="str">
        <f>IF(AND(L70&gt;0,O70&gt;0),(O70-L70)/L70,"")</f>
        <v/>
      </c>
      <c r="Q70" s="18"/>
      <c r="R70" s="18">
        <v>1</v>
      </c>
      <c r="S70" s="10">
        <f>IF(N70&gt;0,TODAY()-N70,"")</f>
        <v>314</v>
      </c>
    </row>
    <row r="71" ht="17" customHeight="1" spans="1:19" x14ac:dyDescent="0.25">
      <c r="A71" s="3" t="s">
        <v>20</v>
      </c>
      <c r="B71" s="3" t="s">
        <v>117</v>
      </c>
      <c r="C71" s="3" t="s">
        <v>165</v>
      </c>
      <c r="D71" s="3" t="s">
        <v>166</v>
      </c>
      <c r="E71" s="4">
        <v>142</v>
      </c>
      <c r="F71" s="5">
        <v>240.8450704225352</v>
      </c>
      <c r="G71" s="6">
        <v>45692</v>
      </c>
      <c r="H71" s="5">
        <v>200</v>
      </c>
      <c r="I71" s="7" t="s">
        <v>57</v>
      </c>
      <c r="J71" s="5">
        <v>240</v>
      </c>
      <c r="K71" s="22">
        <f>IF(AND(H71&gt;0,J71&gt;0),(J71-H71)/H71,"")</f>
        <v>0.2</v>
      </c>
      <c r="L71" s="5"/>
      <c r="M71" s="8" t="str">
        <f>IF(AND(J71&gt;0,L71&gt;0),(L71-J71)/J71,IF(AND(H71&gt;0,L71&gt;0),(L71-H71)/H71,""))</f>
        <v/>
      </c>
      <c r="N71" s="6">
        <v>46059</v>
      </c>
      <c r="O71" s="5">
        <v>270</v>
      </c>
      <c r="P71" s="22">
        <f>IF(AND(L71&gt;0,O71&gt;0),(O71-L71)/L71,"")</f>
        <v>0.125</v>
      </c>
      <c r="Q71" s="9">
        <v>52</v>
      </c>
      <c r="R71" s="9">
        <v>8</v>
      </c>
      <c r="S71" s="9">
        <f>IF(N71&gt;0,TODAY()-N71,"")</f>
        <v>52</v>
      </c>
    </row>
    <row r="72" ht="17" customHeight="1" spans="1:19" x14ac:dyDescent="0.25">
      <c r="A72" s="11" t="s">
        <v>20</v>
      </c>
      <c r="B72" s="11" t="s">
        <v>117</v>
      </c>
      <c r="C72" s="11" t="s">
        <v>167</v>
      </c>
      <c r="D72" s="11" t="s">
        <v>168</v>
      </c>
      <c r="E72" s="12">
        <v>137</v>
      </c>
      <c r="F72" s="13">
        <v>5127.549570919708</v>
      </c>
      <c r="G72" s="14">
        <v>45688</v>
      </c>
      <c r="H72" s="13">
        <v>4420.47</v>
      </c>
      <c r="I72" s="15" t="s">
        <v>54</v>
      </c>
      <c r="J72" s="13">
        <v>5785.32</v>
      </c>
      <c r="K72" s="23">
        <f>IF(AND(H72&gt;0,J72&gt;0),(J72-H72)/H72,"")</f>
        <v>0.3087567611588812</v>
      </c>
      <c r="L72" s="13"/>
      <c r="M72" s="16" t="str">
        <f>IF(AND(J72&gt;0,L72&gt;0),(L72-J72)/J72,IF(AND(H72&gt;0,L72&gt;0),(L72-H72)/H72,""))</f>
        <v/>
      </c>
      <c r="N72" s="14">
        <v>46105</v>
      </c>
      <c r="O72" s="13">
        <v>5972.87</v>
      </c>
      <c r="P72" s="17">
        <f>IF(AND(L72&gt;0,O72&gt;0),(O72-L72)/L72,"")</f>
        <v>0.0324182586270077</v>
      </c>
      <c r="Q72" s="18">
        <v>21</v>
      </c>
      <c r="R72" s="18">
        <v>21</v>
      </c>
      <c r="S72" s="18">
        <f>IF(N72&gt;0,TODAY()-N72,"")</f>
        <v>6</v>
      </c>
    </row>
    <row r="73" ht="17" customHeight="1" spans="1:19" x14ac:dyDescent="0.25">
      <c r="A73" s="3" t="s">
        <v>20</v>
      </c>
      <c r="B73" s="3" t="s">
        <v>117</v>
      </c>
      <c r="C73" s="3" t="s">
        <v>169</v>
      </c>
      <c r="D73" s="3" t="s">
        <v>170</v>
      </c>
      <c r="E73" s="4">
        <v>262</v>
      </c>
      <c r="F73" s="5">
        <v>58.75762821259543</v>
      </c>
      <c r="G73" s="6">
        <v>45688</v>
      </c>
      <c r="H73" s="5">
        <v>52.83</v>
      </c>
      <c r="I73" s="7" t="s">
        <v>54</v>
      </c>
      <c r="J73" s="5">
        <v>63.42</v>
      </c>
      <c r="K73" s="22">
        <f>IF(AND(H73&gt;0,J73&gt;0),(J73-H73)/H73,"")</f>
        <v>0.2004542873367406</v>
      </c>
      <c r="L73" s="5">
        <v>64.15</v>
      </c>
      <c r="M73" s="24">
        <f>IF(AND(J73&gt;0,L73&gt;0),(L73-J73)/J73,IF(AND(H73&gt;0,L73&gt;0),(L73-H73)/H73,""))</f>
        <v>0.011510564490697005</v>
      </c>
      <c r="N73" s="6">
        <v>46105</v>
      </c>
      <c r="O73" s="5">
        <v>65.48</v>
      </c>
      <c r="P73" s="24">
        <f>IF(AND(L73&gt;0,O73&gt;0),(O73-L73)/L73,"")</f>
        <v>0.020732657833203397</v>
      </c>
      <c r="Q73" s="9">
        <v>32</v>
      </c>
      <c r="R73" s="9">
        <v>14</v>
      </c>
      <c r="S73" s="9">
        <f>IF(N73&gt;0,TODAY()-N73,"")</f>
        <v>6</v>
      </c>
    </row>
    <row r="74" ht="17" customHeight="1" spans="1:19" x14ac:dyDescent="0.25">
      <c r="A74" s="11" t="s">
        <v>20</v>
      </c>
      <c r="B74" s="11" t="s">
        <v>117</v>
      </c>
      <c r="C74" s="11" t="s">
        <v>171</v>
      </c>
      <c r="D74" s="11" t="s">
        <v>172</v>
      </c>
      <c r="E74" s="12">
        <v>15</v>
      </c>
      <c r="F74" s="13">
        <v>78.2</v>
      </c>
      <c r="G74" s="14">
        <v>45728</v>
      </c>
      <c r="H74" s="13">
        <v>52.72</v>
      </c>
      <c r="I74" s="15" t="s">
        <v>24</v>
      </c>
      <c r="J74" s="13"/>
      <c r="K74" s="16" t="str">
        <f>IF(AND(H74&gt;0,J74&gt;0),(J74-H74)/H74,"")</f>
        <v/>
      </c>
      <c r="L74" s="13"/>
      <c r="M74" s="16" t="str">
        <f>IF(AND(J74&gt;0,L74&gt;0),(L74-J74)/J74,IF(AND(H74&gt;0,L74&gt;0),(L74-H74)/H74,""))</f>
        <v/>
      </c>
      <c r="N74" s="14">
        <v>45863</v>
      </c>
      <c r="O74" s="13">
        <v>129.17</v>
      </c>
      <c r="P74" s="16" t="str">
        <f>IF(AND(L74&gt;0,O74&gt;0),(O74-L74)/L74,"")</f>
        <v/>
      </c>
      <c r="Q74" s="18">
        <v>135</v>
      </c>
      <c r="R74" s="18">
        <v>2</v>
      </c>
      <c r="S74" s="10">
        <f>IF(N74&gt;0,TODAY()-N74,"")</f>
        <v>248</v>
      </c>
    </row>
    <row r="75" ht="17" customHeight="1" spans="1:19" x14ac:dyDescent="0.25">
      <c r="A75" s="3" t="s">
        <v>20</v>
      </c>
      <c r="B75" s="3" t="s">
        <v>117</v>
      </c>
      <c r="C75" s="3" t="s">
        <v>173</v>
      </c>
      <c r="D75" s="3" t="s">
        <v>174</v>
      </c>
      <c r="E75" s="4">
        <v>500</v>
      </c>
      <c r="F75" s="5">
        <v>0.52</v>
      </c>
      <c r="G75" s="6">
        <v>46038</v>
      </c>
      <c r="H75" s="5">
        <v>0.52</v>
      </c>
      <c r="I75" s="7" t="s">
        <v>24</v>
      </c>
      <c r="J75" s="5"/>
      <c r="K75" s="8" t="str">
        <f>IF(AND(H75&gt;0,J75&gt;0),(J75-H75)/H75,"")</f>
        <v/>
      </c>
      <c r="L75" s="5">
        <v>0.52</v>
      </c>
      <c r="M75" s="24">
        <f>IF(AND(J75&gt;0,L75&gt;0),(L75-J75)/J75,IF(AND(H75&gt;0,L75&gt;0),(L75-H75)/H75,""))</f>
        <v>0</v>
      </c>
      <c r="N75" s="6">
        <v>46038</v>
      </c>
      <c r="O75" s="5">
        <v>0.52</v>
      </c>
      <c r="P75" s="8" t="str">
        <f>IF(AND(L75&gt;0,O75&gt;0),(O75-L75)/L75,"")</f>
        <v/>
      </c>
      <c r="Q75" s="9"/>
      <c r="R75" s="9">
        <v>1</v>
      </c>
      <c r="S75" s="19">
        <f>IF(N75&gt;0,TODAY()-N75,"")</f>
        <v>73</v>
      </c>
    </row>
    <row r="76" ht="17" customHeight="1" spans="1:19" x14ac:dyDescent="0.25">
      <c r="A76" s="11" t="s">
        <v>20</v>
      </c>
      <c r="B76" s="11" t="s">
        <v>117</v>
      </c>
      <c r="C76" s="11" t="s">
        <v>175</v>
      </c>
      <c r="D76" s="11" t="s">
        <v>176</v>
      </c>
      <c r="E76" s="12">
        <v>500</v>
      </c>
      <c r="F76" s="13">
        <v>0.52</v>
      </c>
      <c r="G76" s="14">
        <v>46049</v>
      </c>
      <c r="H76" s="13">
        <v>0.52</v>
      </c>
      <c r="I76" s="15" t="s">
        <v>24</v>
      </c>
      <c r="J76" s="13"/>
      <c r="K76" s="16" t="str">
        <f>IF(AND(H76&gt;0,J76&gt;0),(J76-H76)/H76,"")</f>
        <v/>
      </c>
      <c r="L76" s="13">
        <v>0.52</v>
      </c>
      <c r="M76" s="17">
        <f>IF(AND(J76&gt;0,L76&gt;0),(L76-J76)/J76,IF(AND(H76&gt;0,L76&gt;0),(L76-H76)/H76,""))</f>
        <v>0</v>
      </c>
      <c r="N76" s="14">
        <v>46049</v>
      </c>
      <c r="O76" s="13">
        <v>0.52</v>
      </c>
      <c r="P76" s="16" t="str">
        <f>IF(AND(L76&gt;0,O76&gt;0),(O76-L76)/L76,"")</f>
        <v/>
      </c>
      <c r="Q76" s="18"/>
      <c r="R76" s="18">
        <v>1</v>
      </c>
      <c r="S76" s="19">
        <f>IF(N76&gt;0,TODAY()-N76,"")</f>
        <v>62</v>
      </c>
    </row>
    <row r="77" ht="17" customHeight="1" spans="1:19" x14ac:dyDescent="0.25">
      <c r="A77" s="3" t="s">
        <v>20</v>
      </c>
      <c r="B77" s="3" t="s">
        <v>117</v>
      </c>
      <c r="C77" s="3" t="s">
        <v>177</v>
      </c>
      <c r="D77" s="3" t="s">
        <v>178</v>
      </c>
      <c r="E77" s="4">
        <v>250</v>
      </c>
      <c r="F77" s="5">
        <v>1.06</v>
      </c>
      <c r="G77" s="6">
        <v>46038</v>
      </c>
      <c r="H77" s="5">
        <v>1.06</v>
      </c>
      <c r="I77" s="7" t="s">
        <v>24</v>
      </c>
      <c r="J77" s="5"/>
      <c r="K77" s="8" t="str">
        <f>IF(AND(H77&gt;0,J77&gt;0),(J77-H77)/H77,"")</f>
        <v/>
      </c>
      <c r="L77" s="5">
        <v>1.06</v>
      </c>
      <c r="M77" s="24">
        <f>IF(AND(J77&gt;0,L77&gt;0),(L77-J77)/J77,IF(AND(H77&gt;0,L77&gt;0),(L77-H77)/H77,""))</f>
        <v>0</v>
      </c>
      <c r="N77" s="6">
        <v>46038</v>
      </c>
      <c r="O77" s="5">
        <v>1.06</v>
      </c>
      <c r="P77" s="8" t="str">
        <f>IF(AND(L77&gt;0,O77&gt;0),(O77-L77)/L77,"")</f>
        <v/>
      </c>
      <c r="Q77" s="9"/>
      <c r="R77" s="9">
        <v>1</v>
      </c>
      <c r="S77" s="19">
        <f>IF(N77&gt;0,TODAY()-N77,"")</f>
        <v>73</v>
      </c>
    </row>
    <row r="78" ht="17" customHeight="1" spans="1:19" x14ac:dyDescent="0.25">
      <c r="A78" s="11" t="s">
        <v>20</v>
      </c>
      <c r="B78" s="11" t="s">
        <v>117</v>
      </c>
      <c r="C78" s="11" t="s">
        <v>179</v>
      </c>
      <c r="D78" s="11" t="s">
        <v>180</v>
      </c>
      <c r="E78" s="12">
        <v>49</v>
      </c>
      <c r="F78" s="13">
        <v>3575.8716734693885</v>
      </c>
      <c r="G78" s="14">
        <v>45695</v>
      </c>
      <c r="H78" s="13">
        <v>3224.99</v>
      </c>
      <c r="I78" s="15" t="s">
        <v>54</v>
      </c>
      <c r="J78" s="13">
        <v>3856.88</v>
      </c>
      <c r="K78" s="20">
        <f>IF(AND(H78&gt;0,J78&gt;0),(J78-H78)/H78,"")</f>
        <v>0.19593549127284127</v>
      </c>
      <c r="L78" s="13">
        <v>3901.42</v>
      </c>
      <c r="M78" s="17">
        <f>IF(AND(J78&gt;0,L78&gt;0),(L78-J78)/J78,IF(AND(H78&gt;0,L78&gt;0),(L78-H78)/H78,""))</f>
        <v>0.011548194395469905</v>
      </c>
      <c r="N78" s="14">
        <v>46105</v>
      </c>
      <c r="O78" s="13">
        <v>3981.92</v>
      </c>
      <c r="P78" s="17">
        <f>IF(AND(L78&gt;0,O78&gt;0),(O78-L78)/L78,"")</f>
        <v>0.020633512926062816</v>
      </c>
      <c r="Q78" s="18">
        <v>29</v>
      </c>
      <c r="R78" s="18">
        <v>15</v>
      </c>
      <c r="S78" s="18">
        <f>IF(N78&gt;0,TODAY()-N78,"")</f>
        <v>6</v>
      </c>
    </row>
    <row r="79" ht="17" customHeight="1" spans="1:19" x14ac:dyDescent="0.25">
      <c r="A79" s="3" t="s">
        <v>20</v>
      </c>
      <c r="B79" s="3" t="s">
        <v>117</v>
      </c>
      <c r="C79" s="3" t="s">
        <v>181</v>
      </c>
      <c r="D79" s="3" t="s">
        <v>182</v>
      </c>
      <c r="E79" s="4">
        <v>2</v>
      </c>
      <c r="F79" s="5">
        <v>5354.37</v>
      </c>
      <c r="G79" s="6">
        <v>45775</v>
      </c>
      <c r="H79" s="5">
        <v>5354.37</v>
      </c>
      <c r="I79" s="7" t="s">
        <v>24</v>
      </c>
      <c r="J79" s="5"/>
      <c r="K79" s="8" t="str">
        <f>IF(AND(H79&gt;0,J79&gt;0),(J79-H79)/H79,"")</f>
        <v/>
      </c>
      <c r="L79" s="5"/>
      <c r="M79" s="8" t="str">
        <f>IF(AND(J79&gt;0,L79&gt;0),(L79-J79)/J79,IF(AND(H79&gt;0,L79&gt;0),(L79-H79)/H79,""))</f>
        <v/>
      </c>
      <c r="N79" s="6">
        <v>45775</v>
      </c>
      <c r="O79" s="5">
        <v>5354.37</v>
      </c>
      <c r="P79" s="8" t="str">
        <f>IF(AND(L79&gt;0,O79&gt;0),(O79-L79)/L79,"")</f>
        <v/>
      </c>
      <c r="Q79" s="9"/>
      <c r="R79" s="9">
        <v>1</v>
      </c>
      <c r="S79" s="10">
        <f>IF(N79&gt;0,TODAY()-N79,"")</f>
        <v>336</v>
      </c>
    </row>
    <row r="80" ht="17" customHeight="1" spans="1:19" x14ac:dyDescent="0.25">
      <c r="A80" s="11" t="s">
        <v>20</v>
      </c>
      <c r="B80" s="11" t="s">
        <v>117</v>
      </c>
      <c r="C80" s="11" t="s">
        <v>183</v>
      </c>
      <c r="D80" s="11" t="s">
        <v>184</v>
      </c>
      <c r="E80" s="12">
        <v>5</v>
      </c>
      <c r="F80" s="13">
        <v>5630.4272</v>
      </c>
      <c r="G80" s="14">
        <v>45751</v>
      </c>
      <c r="H80" s="13">
        <v>5300.92</v>
      </c>
      <c r="I80" s="15" t="s">
        <v>54</v>
      </c>
      <c r="J80" s="13">
        <v>5930.46</v>
      </c>
      <c r="K80" s="20">
        <f>IF(AND(H80&gt;0,J80&gt;0),(J80-H80)/H80,"")</f>
        <v>0.11876051704232472</v>
      </c>
      <c r="L80" s="13"/>
      <c r="M80" s="16" t="str">
        <f>IF(AND(J80&gt;0,L80&gt;0),(L80-J80)/J80,IF(AND(H80&gt;0,L80&gt;0),(L80-H80)/H80,""))</f>
        <v/>
      </c>
      <c r="N80" s="14">
        <v>45994</v>
      </c>
      <c r="O80" s="13">
        <v>5930.46</v>
      </c>
      <c r="P80" s="16" t="str">
        <f>IF(AND(L80&gt;0,O80&gt;0),(O80-L80)/L80,"")</f>
        <v/>
      </c>
      <c r="Q80" s="18">
        <v>122</v>
      </c>
      <c r="R80" s="18">
        <v>3</v>
      </c>
      <c r="S80" s="21">
        <f>IF(N80&gt;0,TODAY()-N80,"")</f>
        <v>117</v>
      </c>
    </row>
    <row r="81" ht="17" customHeight="1" spans="1:19" x14ac:dyDescent="0.25">
      <c r="A81" s="3" t="s">
        <v>20</v>
      </c>
      <c r="B81" s="3" t="s">
        <v>117</v>
      </c>
      <c r="C81" s="3" t="s">
        <v>185</v>
      </c>
      <c r="D81" s="3" t="s">
        <v>186</v>
      </c>
      <c r="E81" s="4">
        <v>2</v>
      </c>
      <c r="F81" s="5">
        <v>910.405</v>
      </c>
      <c r="G81" s="6">
        <v>45733</v>
      </c>
      <c r="H81" s="5">
        <v>910.4</v>
      </c>
      <c r="I81" s="7" t="s">
        <v>24</v>
      </c>
      <c r="J81" s="5"/>
      <c r="K81" s="8" t="str">
        <f>IF(AND(H81&gt;0,J81&gt;0),(J81-H81)/H81,"")</f>
        <v/>
      </c>
      <c r="L81" s="5"/>
      <c r="M81" s="8" t="str">
        <f>IF(AND(J81&gt;0,L81&gt;0),(L81-J81)/J81,IF(AND(H81&gt;0,L81&gt;0),(L81-H81)/H81,""))</f>
        <v/>
      </c>
      <c r="N81" s="6">
        <v>45733</v>
      </c>
      <c r="O81" s="5">
        <v>910.4</v>
      </c>
      <c r="P81" s="8" t="str">
        <f>IF(AND(L81&gt;0,O81&gt;0),(O81-L81)/L81,"")</f>
        <v/>
      </c>
      <c r="Q81" s="9"/>
      <c r="R81" s="9">
        <v>1</v>
      </c>
      <c r="S81" s="10">
        <f>IF(N81&gt;0,TODAY()-N81,"")</f>
        <v>378</v>
      </c>
    </row>
    <row r="82" ht="17" customHeight="1" spans="1:19" x14ac:dyDescent="0.25">
      <c r="A82" s="11" t="s">
        <v>20</v>
      </c>
      <c r="B82" s="11" t="s">
        <v>117</v>
      </c>
      <c r="C82" s="11" t="s">
        <v>187</v>
      </c>
      <c r="D82" s="11" t="s">
        <v>188</v>
      </c>
      <c r="E82" s="12">
        <v>200</v>
      </c>
      <c r="F82" s="13">
        <v>0.42100000000000004</v>
      </c>
      <c r="G82" s="14">
        <v>45845</v>
      </c>
      <c r="H82" s="13">
        <v>0.4</v>
      </c>
      <c r="I82" s="15" t="s">
        <v>24</v>
      </c>
      <c r="J82" s="13"/>
      <c r="K82" s="16" t="str">
        <f>IF(AND(H82&gt;0,J82&gt;0),(J82-H82)/H82,"")</f>
        <v/>
      </c>
      <c r="L82" s="13">
        <v>0.44</v>
      </c>
      <c r="M82" s="17">
        <f>IF(AND(J82&gt;0,L82&gt;0),(L82-J82)/J82,IF(AND(H82&gt;0,L82&gt;0),(L82-H82)/H82,""))</f>
        <v>0.09999999999999995</v>
      </c>
      <c r="N82" s="14">
        <v>46034</v>
      </c>
      <c r="O82" s="13">
        <v>0.44</v>
      </c>
      <c r="P82" s="16" t="str">
        <f>IF(AND(L82&gt;0,O82&gt;0),(O82-L82)/L82,"")</f>
        <v/>
      </c>
      <c r="Q82" s="18">
        <v>189</v>
      </c>
      <c r="R82" s="18">
        <v>2</v>
      </c>
      <c r="S82" s="19">
        <f>IF(N82&gt;0,TODAY()-N82,"")</f>
        <v>77</v>
      </c>
    </row>
    <row r="83" ht="17" customHeight="1" spans="1:19" x14ac:dyDescent="0.25">
      <c r="A83" s="3" t="s">
        <v>20</v>
      </c>
      <c r="B83" s="3" t="s">
        <v>117</v>
      </c>
      <c r="C83" s="3" t="s">
        <v>189</v>
      </c>
      <c r="D83" s="3" t="s">
        <v>190</v>
      </c>
      <c r="E83" s="4">
        <v>107</v>
      </c>
      <c r="F83" s="5">
        <v>2735.1023317757013</v>
      </c>
      <c r="G83" s="6">
        <v>45688</v>
      </c>
      <c r="H83" s="5">
        <v>2048.83</v>
      </c>
      <c r="I83" s="7" t="s">
        <v>54</v>
      </c>
      <c r="J83" s="5">
        <v>3253.35</v>
      </c>
      <c r="K83" s="23">
        <f>IF(AND(H83&gt;0,J83&gt;0),(J83-H83)/H83,"")</f>
        <v>0.5879062684556552</v>
      </c>
      <c r="L83" s="5"/>
      <c r="M83" s="8" t="str">
        <f>IF(AND(J83&gt;0,L83&gt;0),(L83-J83)/J83,IF(AND(H83&gt;0,L83&gt;0),(L83-H83)/H83,""))</f>
        <v/>
      </c>
      <c r="N83" s="6">
        <v>46106</v>
      </c>
      <c r="O83" s="5">
        <v>3341.88</v>
      </c>
      <c r="P83" s="24">
        <f>IF(AND(L83&gt;0,O83&gt;0),(O83-L83)/L83,"")</f>
        <v>0.027211950758449045</v>
      </c>
      <c r="Q83" s="9">
        <v>28</v>
      </c>
      <c r="R83" s="9">
        <v>16</v>
      </c>
      <c r="S83" s="9">
        <f>IF(N83&gt;0,TODAY()-N83,"")</f>
        <v>5</v>
      </c>
    </row>
    <row r="84" ht="17" customHeight="1" spans="1:19" x14ac:dyDescent="0.25">
      <c r="A84" s="11" t="s">
        <v>20</v>
      </c>
      <c r="B84" s="11" t="s">
        <v>117</v>
      </c>
      <c r="C84" s="11" t="s">
        <v>191</v>
      </c>
      <c r="D84" s="11" t="s">
        <v>192</v>
      </c>
      <c r="E84" s="12">
        <v>75</v>
      </c>
      <c r="F84" s="13">
        <v>312.6810666666667</v>
      </c>
      <c r="G84" s="14">
        <v>45860</v>
      </c>
      <c r="H84" s="13">
        <v>273.64</v>
      </c>
      <c r="I84" s="15" t="s">
        <v>60</v>
      </c>
      <c r="J84" s="13">
        <v>400</v>
      </c>
      <c r="K84" s="23">
        <f>IF(AND(H84&gt;0,J84&gt;0),(J84-H84)/H84,"")</f>
        <v>0.46177459435755014</v>
      </c>
      <c r="L84" s="13"/>
      <c r="M84" s="16" t="str">
        <f>IF(AND(J84&gt;0,L84&gt;0),(L84-J84)/J84,IF(AND(H84&gt;0,L84&gt;0),(L84-H84)/H84,""))</f>
        <v/>
      </c>
      <c r="N84" s="14">
        <v>45966</v>
      </c>
      <c r="O84" s="13">
        <v>400</v>
      </c>
      <c r="P84" s="16" t="str">
        <f>IF(AND(L84&gt;0,O84&gt;0),(O84-L84)/L84,"")</f>
        <v/>
      </c>
      <c r="Q84" s="18">
        <v>53</v>
      </c>
      <c r="R84" s="18">
        <v>3</v>
      </c>
      <c r="S84" s="21">
        <f>IF(N84&gt;0,TODAY()-N84,"")</f>
        <v>145</v>
      </c>
    </row>
    <row r="85" ht="17" customHeight="1" spans="1:19" x14ac:dyDescent="0.25">
      <c r="A85" s="3" t="s">
        <v>20</v>
      </c>
      <c r="B85" s="3" t="s">
        <v>117</v>
      </c>
      <c r="C85" s="3" t="s">
        <v>193</v>
      </c>
      <c r="D85" s="3" t="s">
        <v>194</v>
      </c>
      <c r="E85" s="4">
        <v>107</v>
      </c>
      <c r="F85" s="5">
        <v>4501.757196261682</v>
      </c>
      <c r="G85" s="6">
        <v>45688</v>
      </c>
      <c r="H85" s="5">
        <v>3725.14</v>
      </c>
      <c r="I85" s="7" t="s">
        <v>54</v>
      </c>
      <c r="J85" s="5">
        <v>5005.15</v>
      </c>
      <c r="K85" s="23">
        <f>IF(AND(H85&gt;0,J85&gt;0),(J85-H85)/H85,"")</f>
        <v>0.34361393128848844</v>
      </c>
      <c r="L85" s="5"/>
      <c r="M85" s="8" t="str">
        <f>IF(AND(J85&gt;0,L85&gt;0),(L85-J85)/J85,IF(AND(H85&gt;0,L85&gt;0),(L85-H85)/H85,""))</f>
        <v/>
      </c>
      <c r="N85" s="6">
        <v>46106</v>
      </c>
      <c r="O85" s="5">
        <v>5141.36</v>
      </c>
      <c r="P85" s="24">
        <f>IF(AND(L85&gt;0,O85&gt;0),(O85-L85)/L85,"")</f>
        <v>0.02721396961130037</v>
      </c>
      <c r="Q85" s="9">
        <v>28</v>
      </c>
      <c r="R85" s="9">
        <v>16</v>
      </c>
      <c r="S85" s="9">
        <f>IF(N85&gt;0,TODAY()-N85,"")</f>
        <v>5</v>
      </c>
    </row>
    <row r="86" ht="17" customHeight="1" spans="1:19" x14ac:dyDescent="0.25">
      <c r="A86" s="11" t="s">
        <v>20</v>
      </c>
      <c r="B86" s="11" t="s">
        <v>117</v>
      </c>
      <c r="C86" s="11" t="s">
        <v>195</v>
      </c>
      <c r="D86" s="11" t="s">
        <v>196</v>
      </c>
      <c r="E86" s="12">
        <v>107</v>
      </c>
      <c r="F86" s="13">
        <v>10097.478037383176</v>
      </c>
      <c r="G86" s="14">
        <v>45688</v>
      </c>
      <c r="H86" s="13">
        <v>8195.31</v>
      </c>
      <c r="I86" s="15" t="s">
        <v>54</v>
      </c>
      <c r="J86" s="13">
        <v>11762.1</v>
      </c>
      <c r="K86" s="23">
        <f>IF(AND(H86&gt;0,J86&gt;0),(J86-H86)/H86,"")</f>
        <v>0.43522331675067827</v>
      </c>
      <c r="L86" s="13"/>
      <c r="M86" s="16" t="str">
        <f>IF(AND(J86&gt;0,L86&gt;0),(L86-J86)/J86,IF(AND(H86&gt;0,L86&gt;0),(L86-H86)/H86,""))</f>
        <v/>
      </c>
      <c r="N86" s="14">
        <v>46106</v>
      </c>
      <c r="O86" s="13">
        <v>12082.2</v>
      </c>
      <c r="P86" s="17">
        <f>IF(AND(L86&gt;0,O86&gt;0),(O86-L86)/L86,"")</f>
        <v>0.027214528017956006</v>
      </c>
      <c r="Q86" s="18">
        <v>28</v>
      </c>
      <c r="R86" s="18">
        <v>16</v>
      </c>
      <c r="S86" s="18">
        <f>IF(N86&gt;0,TODAY()-N86,"")</f>
        <v>5</v>
      </c>
    </row>
    <row r="87" ht="17" customHeight="1" spans="1:19" x14ac:dyDescent="0.25">
      <c r="A87" s="3" t="s">
        <v>20</v>
      </c>
      <c r="B87" s="3" t="s">
        <v>117</v>
      </c>
      <c r="C87" s="3" t="s">
        <v>197</v>
      </c>
      <c r="D87" s="3" t="s">
        <v>198</v>
      </c>
      <c r="E87" s="4">
        <v>133</v>
      </c>
      <c r="F87" s="5">
        <v>1362.4812030075188</v>
      </c>
      <c r="G87" s="6">
        <v>45680</v>
      </c>
      <c r="H87" s="5">
        <v>1100</v>
      </c>
      <c r="I87" s="7" t="s">
        <v>60</v>
      </c>
      <c r="J87" s="5">
        <v>1600</v>
      </c>
      <c r="K87" s="23">
        <f>IF(AND(H87&gt;0,J87&gt;0),(J87-H87)/H87,"")</f>
        <v>0.45454545454545453</v>
      </c>
      <c r="L87" s="5">
        <v>1600</v>
      </c>
      <c r="M87" s="24">
        <f>IF(AND(J87&gt;0,L87&gt;0),(L87-J87)/J87,IF(AND(H87&gt;0,L87&gt;0),(L87-H87)/H87,""))</f>
        <v>0</v>
      </c>
      <c r="N87" s="6">
        <v>46104</v>
      </c>
      <c r="O87" s="5">
        <v>1600</v>
      </c>
      <c r="P87" s="24">
        <f>IF(AND(L87&gt;0,O87&gt;0),(O87-L87)/L87,"")</f>
        <v>0</v>
      </c>
      <c r="Q87" s="9">
        <v>27</v>
      </c>
      <c r="R87" s="9">
        <v>17</v>
      </c>
      <c r="S87" s="9">
        <f>IF(N87&gt;0,TODAY()-N87,"")</f>
        <v>7</v>
      </c>
    </row>
    <row r="88" ht="17" customHeight="1" spans="1:19" x14ac:dyDescent="0.25">
      <c r="A88" s="11" t="s">
        <v>20</v>
      </c>
      <c r="B88" s="11" t="s">
        <v>117</v>
      </c>
      <c r="C88" s="11" t="s">
        <v>199</v>
      </c>
      <c r="D88" s="11" t="s">
        <v>200</v>
      </c>
      <c r="E88" s="12">
        <v>2</v>
      </c>
      <c r="F88" s="13">
        <v>744.98</v>
      </c>
      <c r="G88" s="14">
        <v>45733</v>
      </c>
      <c r="H88" s="13">
        <v>744.98</v>
      </c>
      <c r="I88" s="15" t="s">
        <v>24</v>
      </c>
      <c r="J88" s="13"/>
      <c r="K88" s="16" t="str">
        <f>IF(AND(H88&gt;0,J88&gt;0),(J88-H88)/H88,"")</f>
        <v/>
      </c>
      <c r="L88" s="13"/>
      <c r="M88" s="16" t="str">
        <f>IF(AND(J88&gt;0,L88&gt;0),(L88-J88)/J88,IF(AND(H88&gt;0,L88&gt;0),(L88-H88)/H88,""))</f>
        <v/>
      </c>
      <c r="N88" s="14">
        <v>45733</v>
      </c>
      <c r="O88" s="13">
        <v>744.98</v>
      </c>
      <c r="P88" s="16" t="str">
        <f>IF(AND(L88&gt;0,O88&gt;0),(O88-L88)/L88,"")</f>
        <v/>
      </c>
      <c r="Q88" s="18"/>
      <c r="R88" s="18">
        <v>1</v>
      </c>
      <c r="S88" s="10">
        <f>IF(N88&gt;0,TODAY()-N88,"")</f>
        <v>378</v>
      </c>
    </row>
    <row r="89" ht="17" customHeight="1" spans="1:19" x14ac:dyDescent="0.25">
      <c r="A89" s="3" t="s">
        <v>20</v>
      </c>
      <c r="B89" s="3" t="s">
        <v>117</v>
      </c>
      <c r="C89" s="3" t="s">
        <v>201</v>
      </c>
      <c r="D89" s="3" t="s">
        <v>202</v>
      </c>
      <c r="E89" s="4">
        <v>15</v>
      </c>
      <c r="F89" s="5">
        <v>138.67085</v>
      </c>
      <c r="G89" s="6">
        <v>45883</v>
      </c>
      <c r="H89" s="5">
        <v>138.67</v>
      </c>
      <c r="I89" s="7" t="s">
        <v>24</v>
      </c>
      <c r="J89" s="5"/>
      <c r="K89" s="8" t="str">
        <f>IF(AND(H89&gt;0,J89&gt;0),(J89-H89)/H89,"")</f>
        <v/>
      </c>
      <c r="L89" s="5"/>
      <c r="M89" s="8" t="str">
        <f>IF(AND(J89&gt;0,L89&gt;0),(L89-J89)/J89,IF(AND(H89&gt;0,L89&gt;0),(L89-H89)/H89,""))</f>
        <v/>
      </c>
      <c r="N89" s="6">
        <v>45901</v>
      </c>
      <c r="O89" s="5">
        <v>138.67</v>
      </c>
      <c r="P89" s="8" t="str">
        <f>IF(AND(L89&gt;0,O89&gt;0),(O89-L89)/L89,"")</f>
        <v/>
      </c>
      <c r="Q89" s="9">
        <v>18</v>
      </c>
      <c r="R89" s="9">
        <v>2</v>
      </c>
      <c r="S89" s="10">
        <f>IF(N89&gt;0,TODAY()-N89,"")</f>
        <v>210</v>
      </c>
    </row>
    <row r="90" ht="17" customHeight="1" spans="1:19" x14ac:dyDescent="0.25">
      <c r="A90" s="11" t="s">
        <v>20</v>
      </c>
      <c r="B90" s="11" t="s">
        <v>117</v>
      </c>
      <c r="C90" s="11" t="s">
        <v>203</v>
      </c>
      <c r="D90" s="11" t="s">
        <v>204</v>
      </c>
      <c r="E90" s="12">
        <v>15</v>
      </c>
      <c r="F90" s="13">
        <v>138.67085</v>
      </c>
      <c r="G90" s="14">
        <v>45883</v>
      </c>
      <c r="H90" s="13">
        <v>138.67</v>
      </c>
      <c r="I90" s="15" t="s">
        <v>24</v>
      </c>
      <c r="J90" s="13"/>
      <c r="K90" s="16" t="str">
        <f>IF(AND(H90&gt;0,J90&gt;0),(J90-H90)/H90,"")</f>
        <v/>
      </c>
      <c r="L90" s="13"/>
      <c r="M90" s="16" t="str">
        <f>IF(AND(J90&gt;0,L90&gt;0),(L90-J90)/J90,IF(AND(H90&gt;0,L90&gt;0),(L90-H90)/H90,""))</f>
        <v/>
      </c>
      <c r="N90" s="14">
        <v>45901</v>
      </c>
      <c r="O90" s="13">
        <v>138.67</v>
      </c>
      <c r="P90" s="16" t="str">
        <f>IF(AND(L90&gt;0,O90&gt;0),(O90-L90)/L90,"")</f>
        <v/>
      </c>
      <c r="Q90" s="18">
        <v>18</v>
      </c>
      <c r="R90" s="18">
        <v>2</v>
      </c>
      <c r="S90" s="10">
        <f>IF(N90&gt;0,TODAY()-N90,"")</f>
        <v>210</v>
      </c>
    </row>
    <row r="91" ht="17" customHeight="1" spans="1:19" x14ac:dyDescent="0.25">
      <c r="A91" s="3" t="s">
        <v>20</v>
      </c>
      <c r="B91" s="3" t="s">
        <v>117</v>
      </c>
      <c r="C91" s="3" t="s">
        <v>205</v>
      </c>
      <c r="D91" s="3" t="s">
        <v>206</v>
      </c>
      <c r="E91" s="4">
        <v>135</v>
      </c>
      <c r="F91" s="5">
        <v>167.23066666666665</v>
      </c>
      <c r="G91" s="6">
        <v>45684</v>
      </c>
      <c r="H91" s="5">
        <v>164.01</v>
      </c>
      <c r="I91" s="7" t="s">
        <v>60</v>
      </c>
      <c r="J91" s="5">
        <v>178.92</v>
      </c>
      <c r="K91" s="24">
        <f>IF(AND(H91&gt;0,J91&gt;0),(J91-H91)/H91,"")</f>
        <v>0.0909090909090909</v>
      </c>
      <c r="L91" s="5">
        <v>164.01</v>
      </c>
      <c r="M91" s="26">
        <f>IF(AND(J91&gt;0,L91&gt;0),(L91-J91)/J91,IF(AND(H91&gt;0,L91&gt;0),(L91-H91)/H91,""))</f>
        <v>-0.08333333333333331</v>
      </c>
      <c r="N91" s="6">
        <v>46072</v>
      </c>
      <c r="O91" s="5">
        <v>223.8</v>
      </c>
      <c r="P91" s="23">
        <f>IF(AND(L91&gt;0,O91&gt;0),(O91-L91)/L91,"")</f>
        <v>0.3645509420157309</v>
      </c>
      <c r="Q91" s="9">
        <v>35</v>
      </c>
      <c r="R91" s="9">
        <v>12</v>
      </c>
      <c r="S91" s="9">
        <f>IF(N91&gt;0,TODAY()-N91,"")</f>
        <v>39</v>
      </c>
    </row>
    <row r="92" ht="17" customHeight="1" spans="1:19" x14ac:dyDescent="0.25">
      <c r="A92" s="11" t="s">
        <v>20</v>
      </c>
      <c r="B92" s="11" t="s">
        <v>117</v>
      </c>
      <c r="C92" s="11" t="s">
        <v>207</v>
      </c>
      <c r="D92" s="11" t="s">
        <v>208</v>
      </c>
      <c r="E92" s="12">
        <v>170</v>
      </c>
      <c r="F92" s="13">
        <v>34.59470588235294</v>
      </c>
      <c r="G92" s="14">
        <v>45713</v>
      </c>
      <c r="H92" s="13">
        <v>29.53</v>
      </c>
      <c r="I92" s="15" t="s">
        <v>24</v>
      </c>
      <c r="J92" s="13"/>
      <c r="K92" s="16" t="str">
        <f>IF(AND(H92&gt;0,J92&gt;0),(J92-H92)/H92,"")</f>
        <v/>
      </c>
      <c r="L92" s="13"/>
      <c r="M92" s="16" t="str">
        <f>IF(AND(J92&gt;0,L92&gt;0),(L92-J92)/J92,IF(AND(H92&gt;0,L92&gt;0),(L92-H92)/H92,""))</f>
        <v/>
      </c>
      <c r="N92" s="14">
        <v>45924</v>
      </c>
      <c r="O92" s="13">
        <v>40</v>
      </c>
      <c r="P92" s="16" t="str">
        <f>IF(AND(L92&gt;0,O92&gt;0),(O92-L92)/L92,"")</f>
        <v/>
      </c>
      <c r="Q92" s="18">
        <v>26</v>
      </c>
      <c r="R92" s="18">
        <v>9</v>
      </c>
      <c r="S92" s="10">
        <f>IF(N92&gt;0,TODAY()-N92,"")</f>
        <v>187</v>
      </c>
    </row>
    <row r="93" ht="17" customHeight="1" spans="1:19" x14ac:dyDescent="0.25">
      <c r="A93" s="3" t="s">
        <v>20</v>
      </c>
      <c r="B93" s="3" t="s">
        <v>117</v>
      </c>
      <c r="C93" s="3" t="s">
        <v>209</v>
      </c>
      <c r="D93" s="3" t="s">
        <v>210</v>
      </c>
      <c r="E93" s="4">
        <v>300</v>
      </c>
      <c r="F93" s="5">
        <v>0.7</v>
      </c>
      <c r="G93" s="6">
        <v>45776</v>
      </c>
      <c r="H93" s="5">
        <v>0.7</v>
      </c>
      <c r="I93" s="7" t="s">
        <v>24</v>
      </c>
      <c r="J93" s="5"/>
      <c r="K93" s="8" t="str">
        <f>IF(AND(H93&gt;0,J93&gt;0),(J93-H93)/H93,"")</f>
        <v/>
      </c>
      <c r="L93" s="5"/>
      <c r="M93" s="8" t="str">
        <f>IF(AND(J93&gt;0,L93&gt;0),(L93-J93)/J93,IF(AND(H93&gt;0,L93&gt;0),(L93-H93)/H93,""))</f>
        <v/>
      </c>
      <c r="N93" s="6">
        <v>45776</v>
      </c>
      <c r="O93" s="5">
        <v>0.7</v>
      </c>
      <c r="P93" s="8" t="str">
        <f>IF(AND(L93&gt;0,O93&gt;0),(O93-L93)/L93,"")</f>
        <v/>
      </c>
      <c r="Q93" s="9"/>
      <c r="R93" s="9">
        <v>1</v>
      </c>
      <c r="S93" s="10">
        <f>IF(N93&gt;0,TODAY()-N93,"")</f>
        <v>335</v>
      </c>
    </row>
    <row r="94" ht="17" customHeight="1" spans="1:19" x14ac:dyDescent="0.25">
      <c r="A94" s="11" t="s">
        <v>20</v>
      </c>
      <c r="B94" s="11" t="s">
        <v>117</v>
      </c>
      <c r="C94" s="11" t="s">
        <v>211</v>
      </c>
      <c r="D94" s="11" t="s">
        <v>212</v>
      </c>
      <c r="E94" s="12">
        <v>40</v>
      </c>
      <c r="F94" s="13">
        <v>68.4</v>
      </c>
      <c r="G94" s="14">
        <v>45758</v>
      </c>
      <c r="H94" s="13">
        <v>68.4</v>
      </c>
      <c r="I94" s="15" t="s">
        <v>24</v>
      </c>
      <c r="J94" s="13"/>
      <c r="K94" s="16" t="str">
        <f>IF(AND(H94&gt;0,J94&gt;0),(J94-H94)/H94,"")</f>
        <v/>
      </c>
      <c r="L94" s="13"/>
      <c r="M94" s="16" t="str">
        <f>IF(AND(J94&gt;0,L94&gt;0),(L94-J94)/J94,IF(AND(H94&gt;0,L94&gt;0),(L94-H94)/H94,""))</f>
        <v/>
      </c>
      <c r="N94" s="14">
        <v>45758</v>
      </c>
      <c r="O94" s="13">
        <v>68.4</v>
      </c>
      <c r="P94" s="16" t="str">
        <f>IF(AND(L94&gt;0,O94&gt;0),(O94-L94)/L94,"")</f>
        <v/>
      </c>
      <c r="Q94" s="18"/>
      <c r="R94" s="18">
        <v>1</v>
      </c>
      <c r="S94" s="10">
        <f>IF(N94&gt;0,TODAY()-N94,"")</f>
        <v>353</v>
      </c>
    </row>
    <row r="95" ht="17" customHeight="1" spans="1:19" x14ac:dyDescent="0.25">
      <c r="A95" s="3" t="s">
        <v>20</v>
      </c>
      <c r="B95" s="3" t="s">
        <v>117</v>
      </c>
      <c r="C95" s="3" t="s">
        <v>213</v>
      </c>
      <c r="D95" s="3" t="s">
        <v>214</v>
      </c>
      <c r="E95" s="4">
        <v>850</v>
      </c>
      <c r="F95" s="5">
        <v>42.8872494117647</v>
      </c>
      <c r="G95" s="6">
        <v>45712</v>
      </c>
      <c r="H95" s="5">
        <v>34.71</v>
      </c>
      <c r="I95" s="7" t="s">
        <v>54</v>
      </c>
      <c r="J95" s="5">
        <v>44.1</v>
      </c>
      <c r="K95" s="23">
        <f>IF(AND(H95&gt;0,J95&gt;0),(J95-H95)/H95,"")</f>
        <v>0.27052722558340536</v>
      </c>
      <c r="L95" s="5">
        <v>44.1</v>
      </c>
      <c r="M95" s="24">
        <f>IF(AND(J95&gt;0,L95&gt;0),(L95-J95)/J95,IF(AND(H95&gt;0,L95&gt;0),(L95-H95)/H95,""))</f>
        <v>0</v>
      </c>
      <c r="N95" s="6">
        <v>46098</v>
      </c>
      <c r="O95" s="5">
        <v>46</v>
      </c>
      <c r="P95" s="24">
        <f>IF(AND(L95&gt;0,O95&gt;0),(O95-L95)/L95,"")</f>
        <v>0.043083900226757336</v>
      </c>
      <c r="Q95" s="9">
        <v>43</v>
      </c>
      <c r="R95" s="9">
        <v>10</v>
      </c>
      <c r="S95" s="9">
        <f>IF(N95&gt;0,TODAY()-N95,"")</f>
        <v>13</v>
      </c>
    </row>
    <row r="96" ht="17" customHeight="1" spans="1:19" x14ac:dyDescent="0.25">
      <c r="A96" s="11" t="s">
        <v>20</v>
      </c>
      <c r="B96" s="11" t="s">
        <v>117</v>
      </c>
      <c r="C96" s="11" t="s">
        <v>215</v>
      </c>
      <c r="D96" s="11" t="s">
        <v>216</v>
      </c>
      <c r="E96" s="12">
        <v>150</v>
      </c>
      <c r="F96" s="13">
        <v>823.8503333333333</v>
      </c>
      <c r="G96" s="14">
        <v>45714</v>
      </c>
      <c r="H96" s="13">
        <v>727.75</v>
      </c>
      <c r="I96" s="15" t="s">
        <v>24</v>
      </c>
      <c r="J96" s="13"/>
      <c r="K96" s="16" t="str">
        <f>IF(AND(H96&gt;0,J96&gt;0),(J96-H96)/H96,"")</f>
        <v/>
      </c>
      <c r="L96" s="13"/>
      <c r="M96" s="16" t="str">
        <f>IF(AND(J96&gt;0,L96&gt;0),(L96-J96)/J96,IF(AND(H96&gt;0,L96&gt;0),(L96-H96)/H96,""))</f>
        <v/>
      </c>
      <c r="N96" s="14">
        <v>46059</v>
      </c>
      <c r="O96" s="13">
        <v>915.92</v>
      </c>
      <c r="P96" s="23">
        <f>IF(AND(L96&gt;0,O96&gt;0),(O96-L96)/L96,"")</f>
        <v>0.2585640673308141</v>
      </c>
      <c r="Q96" s="18">
        <v>173</v>
      </c>
      <c r="R96" s="18">
        <v>3</v>
      </c>
      <c r="S96" s="18">
        <f>IF(N96&gt;0,TODAY()-N96,"")</f>
        <v>52</v>
      </c>
    </row>
    <row r="97" ht="17" customHeight="1" spans="1:19" x14ac:dyDescent="0.25">
      <c r="A97" s="3" t="s">
        <v>20</v>
      </c>
      <c r="B97" s="3" t="s">
        <v>117</v>
      </c>
      <c r="C97" s="3" t="s">
        <v>217</v>
      </c>
      <c r="D97" s="3" t="s">
        <v>218</v>
      </c>
      <c r="E97" s="4">
        <v>1</v>
      </c>
      <c r="F97" s="5">
        <v>5417</v>
      </c>
      <c r="G97" s="6">
        <v>46076</v>
      </c>
      <c r="H97" s="5">
        <v>5417</v>
      </c>
      <c r="I97" s="7" t="s">
        <v>24</v>
      </c>
      <c r="J97" s="5"/>
      <c r="K97" s="8" t="str">
        <f>IF(AND(H97&gt;0,J97&gt;0),(J97-H97)/H97,"")</f>
        <v/>
      </c>
      <c r="L97" s="5"/>
      <c r="M97" s="8" t="str">
        <f>IF(AND(J97&gt;0,L97&gt;0),(L97-J97)/J97,IF(AND(H97&gt;0,L97&gt;0),(L97-H97)/H97,""))</f>
        <v/>
      </c>
      <c r="N97" s="6">
        <v>46076</v>
      </c>
      <c r="O97" s="5">
        <v>5417</v>
      </c>
      <c r="P97" s="24">
        <f>IF(AND(L97&gt;0,O97&gt;0),(O97-L97)/L97,"")</f>
        <v>0</v>
      </c>
      <c r="Q97" s="9"/>
      <c r="R97" s="9">
        <v>1</v>
      </c>
      <c r="S97" s="9">
        <f>IF(N97&gt;0,TODAY()-N97,"")</f>
        <v>35</v>
      </c>
    </row>
    <row r="98" ht="17" customHeight="1" spans="1:19" x14ac:dyDescent="0.25">
      <c r="A98" s="11" t="s">
        <v>20</v>
      </c>
      <c r="B98" s="11" t="s">
        <v>117</v>
      </c>
      <c r="C98" s="11" t="s">
        <v>219</v>
      </c>
      <c r="D98" s="11" t="s">
        <v>220</v>
      </c>
      <c r="E98" s="12">
        <v>1</v>
      </c>
      <c r="F98" s="13">
        <v>5417</v>
      </c>
      <c r="G98" s="14">
        <v>46076</v>
      </c>
      <c r="H98" s="13">
        <v>5417</v>
      </c>
      <c r="I98" s="15" t="s">
        <v>24</v>
      </c>
      <c r="J98" s="13"/>
      <c r="K98" s="16" t="str">
        <f>IF(AND(H98&gt;0,J98&gt;0),(J98-H98)/H98,"")</f>
        <v/>
      </c>
      <c r="L98" s="13"/>
      <c r="M98" s="16" t="str">
        <f>IF(AND(J98&gt;0,L98&gt;0),(L98-J98)/J98,IF(AND(H98&gt;0,L98&gt;0),(L98-H98)/H98,""))</f>
        <v/>
      </c>
      <c r="N98" s="14">
        <v>46076</v>
      </c>
      <c r="O98" s="13">
        <v>5417</v>
      </c>
      <c r="P98" s="17">
        <f>IF(AND(L98&gt;0,O98&gt;0),(O98-L98)/L98,"")</f>
        <v>0</v>
      </c>
      <c r="Q98" s="18"/>
      <c r="R98" s="18">
        <v>1</v>
      </c>
      <c r="S98" s="18">
        <f>IF(N98&gt;0,TODAY()-N98,"")</f>
        <v>35</v>
      </c>
    </row>
    <row r="99" ht="17" customHeight="1" spans="1:19" x14ac:dyDescent="0.25">
      <c r="A99" s="3" t="s">
        <v>20</v>
      </c>
      <c r="B99" s="3" t="s">
        <v>117</v>
      </c>
      <c r="C99" s="3" t="s">
        <v>221</v>
      </c>
      <c r="D99" s="3" t="s">
        <v>222</v>
      </c>
      <c r="E99" s="4">
        <v>2</v>
      </c>
      <c r="F99" s="5">
        <v>18522.7036</v>
      </c>
      <c r="G99" s="6">
        <v>45700</v>
      </c>
      <c r="H99" s="5">
        <v>17404.3</v>
      </c>
      <c r="I99" s="7" t="s">
        <v>24</v>
      </c>
      <c r="J99" s="5"/>
      <c r="K99" s="8" t="str">
        <f>IF(AND(H99&gt;0,J99&gt;0),(J99-H99)/H99,"")</f>
        <v/>
      </c>
      <c r="L99" s="5"/>
      <c r="M99" s="8" t="str">
        <f>IF(AND(J99&gt;0,L99&gt;0),(L99-J99)/J99,IF(AND(H99&gt;0,L99&gt;0),(L99-H99)/H99,""))</f>
        <v/>
      </c>
      <c r="N99" s="6">
        <v>45877</v>
      </c>
      <c r="O99" s="5">
        <v>19641.11</v>
      </c>
      <c r="P99" s="8" t="str">
        <f>IF(AND(L99&gt;0,O99&gt;0),(O99-L99)/L99,"")</f>
        <v/>
      </c>
      <c r="Q99" s="9">
        <v>177</v>
      </c>
      <c r="R99" s="9">
        <v>2</v>
      </c>
      <c r="S99" s="10">
        <f>IF(N99&gt;0,TODAY()-N99,"")</f>
        <v>234</v>
      </c>
    </row>
    <row r="100" ht="17" customHeight="1" spans="1:19" x14ac:dyDescent="0.25">
      <c r="A100" s="11" t="s">
        <v>20</v>
      </c>
      <c r="B100" s="11" t="s">
        <v>117</v>
      </c>
      <c r="C100" s="11" t="s">
        <v>223</v>
      </c>
      <c r="D100" s="11" t="s">
        <v>224</v>
      </c>
      <c r="E100" s="12">
        <v>5</v>
      </c>
      <c r="F100" s="13">
        <v>3843</v>
      </c>
      <c r="G100" s="14">
        <v>45709</v>
      </c>
      <c r="H100" s="13">
        <v>3843</v>
      </c>
      <c r="I100" s="15" t="s">
        <v>24</v>
      </c>
      <c r="J100" s="13"/>
      <c r="K100" s="16" t="str">
        <f>IF(AND(H100&gt;0,J100&gt;0),(J100-H100)/H100,"")</f>
        <v/>
      </c>
      <c r="L100" s="13"/>
      <c r="M100" s="16" t="str">
        <f>IF(AND(J100&gt;0,L100&gt;0),(L100-J100)/J100,IF(AND(H100&gt;0,L100&gt;0),(L100-H100)/H100,""))</f>
        <v/>
      </c>
      <c r="N100" s="14">
        <v>45709</v>
      </c>
      <c r="O100" s="13">
        <v>3843</v>
      </c>
      <c r="P100" s="16" t="str">
        <f>IF(AND(L100&gt;0,O100&gt;0),(O100-L100)/L100,"")</f>
        <v/>
      </c>
      <c r="Q100" s="18"/>
      <c r="R100" s="18">
        <v>1</v>
      </c>
      <c r="S100" s="10">
        <f>IF(N100&gt;0,TODAY()-N100,"")</f>
        <v>402</v>
      </c>
    </row>
    <row r="101" ht="17" customHeight="1" spans="1:19" x14ac:dyDescent="0.25">
      <c r="A101" s="3" t="s">
        <v>20</v>
      </c>
      <c r="B101" s="3" t="s">
        <v>117</v>
      </c>
      <c r="C101" s="3" t="s">
        <v>225</v>
      </c>
      <c r="D101" s="3" t="s">
        <v>226</v>
      </c>
      <c r="E101" s="4">
        <v>107</v>
      </c>
      <c r="F101" s="5">
        <v>4581.147037383178</v>
      </c>
      <c r="G101" s="6">
        <v>45688</v>
      </c>
      <c r="H101" s="5">
        <v>3929.31</v>
      </c>
      <c r="I101" s="7" t="s">
        <v>54</v>
      </c>
      <c r="J101" s="5">
        <v>5845.31</v>
      </c>
      <c r="K101" s="23">
        <f>IF(AND(H101&gt;0,J101&gt;0),(J101-H101)/H101,"")</f>
        <v>0.48761741883435017</v>
      </c>
      <c r="L101" s="5">
        <v>5912.16</v>
      </c>
      <c r="M101" s="24">
        <f>IF(AND(J101&gt;0,L101&gt;0),(L101-J101)/J101,IF(AND(H101&gt;0,L101&gt;0),(L101-H101)/H101,""))</f>
        <v>0.011436519192309638</v>
      </c>
      <c r="N101" s="6">
        <v>46105</v>
      </c>
      <c r="O101" s="5">
        <v>6034.81</v>
      </c>
      <c r="P101" s="24">
        <f>IF(AND(L101&gt;0,O101&gt;0),(O101-L101)/L101,"")</f>
        <v>0.02074537901545299</v>
      </c>
      <c r="Q101" s="9">
        <v>21</v>
      </c>
      <c r="R101" s="9">
        <v>21</v>
      </c>
      <c r="S101" s="9">
        <f>IF(N101&gt;0,TODAY()-N101,"")</f>
        <v>6</v>
      </c>
    </row>
    <row r="102" ht="17" customHeight="1" spans="1:19" x14ac:dyDescent="0.25">
      <c r="A102" s="11" t="s">
        <v>20</v>
      </c>
      <c r="B102" s="11" t="s">
        <v>117</v>
      </c>
      <c r="C102" s="11" t="s">
        <v>227</v>
      </c>
      <c r="D102" s="11" t="s">
        <v>228</v>
      </c>
      <c r="E102" s="12">
        <v>1</v>
      </c>
      <c r="F102" s="13">
        <v>12546.227</v>
      </c>
      <c r="G102" s="14">
        <v>45867</v>
      </c>
      <c r="H102" s="13">
        <v>12546.23</v>
      </c>
      <c r="I102" s="15" t="s">
        <v>24</v>
      </c>
      <c r="J102" s="13"/>
      <c r="K102" s="16" t="str">
        <f>IF(AND(H102&gt;0,J102&gt;0),(J102-H102)/H102,"")</f>
        <v/>
      </c>
      <c r="L102" s="13"/>
      <c r="M102" s="16" t="str">
        <f>IF(AND(J102&gt;0,L102&gt;0),(L102-J102)/J102,IF(AND(H102&gt;0,L102&gt;0),(L102-H102)/H102,""))</f>
        <v/>
      </c>
      <c r="N102" s="14">
        <v>45867</v>
      </c>
      <c r="O102" s="13">
        <v>12546.23</v>
      </c>
      <c r="P102" s="16" t="str">
        <f>IF(AND(L102&gt;0,O102&gt;0),(O102-L102)/L102,"")</f>
        <v/>
      </c>
      <c r="Q102" s="18"/>
      <c r="R102" s="18">
        <v>1</v>
      </c>
      <c r="S102" s="10">
        <f>IF(N102&gt;0,TODAY()-N102,"")</f>
        <v>244</v>
      </c>
    </row>
    <row r="103" ht="17" customHeight="1" spans="1:19" x14ac:dyDescent="0.25">
      <c r="A103" s="3" t="s">
        <v>20</v>
      </c>
      <c r="B103" s="3" t="s">
        <v>117</v>
      </c>
      <c r="C103" s="3" t="s">
        <v>229</v>
      </c>
      <c r="D103" s="3" t="s">
        <v>230</v>
      </c>
      <c r="E103" s="4">
        <v>5</v>
      </c>
      <c r="F103" s="5">
        <v>11280.710000000001</v>
      </c>
      <c r="G103" s="6">
        <v>45845</v>
      </c>
      <c r="H103" s="5">
        <v>11903.76</v>
      </c>
      <c r="I103" s="7" t="s">
        <v>54</v>
      </c>
      <c r="J103" s="5">
        <v>11390.65</v>
      </c>
      <c r="K103" s="26">
        <f>IF(AND(H103&gt;0,J103&gt;0),(J103-H103)/H103,"")</f>
        <v>-0.043104867705666156</v>
      </c>
      <c r="L103" s="5">
        <v>11442.9</v>
      </c>
      <c r="M103" s="24">
        <f>IF(AND(J103&gt;0,L103&gt;0),(L103-J103)/J103,IF(AND(H103&gt;0,L103&gt;0),(L103-H103)/H103,""))</f>
        <v>0.004587095556443223</v>
      </c>
      <c r="N103" s="6">
        <v>46052</v>
      </c>
      <c r="O103" s="5">
        <v>11442.9</v>
      </c>
      <c r="P103" s="8" t="str">
        <f>IF(AND(L103&gt;0,O103&gt;0),(O103-L103)/L103,"")</f>
        <v/>
      </c>
      <c r="Q103" s="9">
        <v>52</v>
      </c>
      <c r="R103" s="9">
        <v>5</v>
      </c>
      <c r="S103" s="9">
        <f>IF(N103&gt;0,TODAY()-N103,"")</f>
        <v>59</v>
      </c>
    </row>
    <row r="104" ht="17" customHeight="1" spans="1:19" x14ac:dyDescent="0.25">
      <c r="A104" s="11" t="s">
        <v>20</v>
      </c>
      <c r="B104" s="11" t="s">
        <v>117</v>
      </c>
      <c r="C104" s="11" t="s">
        <v>231</v>
      </c>
      <c r="D104" s="11" t="s">
        <v>230</v>
      </c>
      <c r="E104" s="12">
        <v>3</v>
      </c>
      <c r="F104" s="13">
        <v>11495.14</v>
      </c>
      <c r="G104" s="14">
        <v>45916</v>
      </c>
      <c r="H104" s="13">
        <v>10965.58</v>
      </c>
      <c r="I104" s="15" t="s">
        <v>24</v>
      </c>
      <c r="J104" s="13"/>
      <c r="K104" s="16" t="str">
        <f>IF(AND(H104&gt;0,J104&gt;0),(J104-H104)/H104,"")</f>
        <v/>
      </c>
      <c r="L104" s="13"/>
      <c r="M104" s="16" t="str">
        <f>IF(AND(J104&gt;0,L104&gt;0),(L104-J104)/J104,IF(AND(H104&gt;0,L104&gt;0),(L104-H104)/H104,""))</f>
        <v/>
      </c>
      <c r="N104" s="14">
        <v>46105</v>
      </c>
      <c r="O104" s="13">
        <v>11759.92</v>
      </c>
      <c r="P104" s="17">
        <f>IF(AND(L104&gt;0,O104&gt;0),(O104-L104)/L104,"")</f>
        <v>0.07243939673049671</v>
      </c>
      <c r="Q104" s="18">
        <v>189</v>
      </c>
      <c r="R104" s="18">
        <v>2</v>
      </c>
      <c r="S104" s="18">
        <f>IF(N104&gt;0,TODAY()-N104,"")</f>
        <v>6</v>
      </c>
    </row>
    <row r="105" ht="17" customHeight="1" spans="1:19" x14ac:dyDescent="0.25">
      <c r="A105" s="3" t="s">
        <v>20</v>
      </c>
      <c r="B105" s="3" t="s">
        <v>117</v>
      </c>
      <c r="C105" s="3" t="s">
        <v>232</v>
      </c>
      <c r="D105" s="3" t="s">
        <v>233</v>
      </c>
      <c r="E105" s="4">
        <v>5</v>
      </c>
      <c r="F105" s="5">
        <v>12873.578</v>
      </c>
      <c r="G105" s="6">
        <v>45895</v>
      </c>
      <c r="H105" s="5">
        <v>14731.38</v>
      </c>
      <c r="I105" s="7" t="s">
        <v>24</v>
      </c>
      <c r="J105" s="5"/>
      <c r="K105" s="8" t="str">
        <f>IF(AND(H105&gt;0,J105&gt;0),(J105-H105)/H105,"")</f>
        <v/>
      </c>
      <c r="L105" s="5"/>
      <c r="M105" s="8" t="str">
        <f>IF(AND(J105&gt;0,L105&gt;0),(L105-J105)/J105,IF(AND(H105&gt;0,L105&gt;0),(L105-H105)/H105,""))</f>
        <v/>
      </c>
      <c r="N105" s="6">
        <v>46062</v>
      </c>
      <c r="O105" s="5">
        <v>12601.06</v>
      </c>
      <c r="P105" s="26">
        <f>IF(AND(L105&gt;0,O105&gt;0),(O105-L105)/L105,"")</f>
        <v>-0.14461102761587846</v>
      </c>
      <c r="Q105" s="9">
        <v>84</v>
      </c>
      <c r="R105" s="9">
        <v>3</v>
      </c>
      <c r="S105" s="9">
        <f>IF(N105&gt;0,TODAY()-N105,"")</f>
        <v>49</v>
      </c>
    </row>
    <row r="106" ht="17" customHeight="1" spans="1:19" x14ac:dyDescent="0.25">
      <c r="A106" s="11" t="s">
        <v>20</v>
      </c>
      <c r="B106" s="11" t="s">
        <v>117</v>
      </c>
      <c r="C106" s="11" t="s">
        <v>234</v>
      </c>
      <c r="D106" s="11" t="s">
        <v>235</v>
      </c>
      <c r="E106" s="12">
        <v>1</v>
      </c>
      <c r="F106" s="13">
        <v>19510.4272</v>
      </c>
      <c r="G106" s="14">
        <v>45860</v>
      </c>
      <c r="H106" s="13">
        <v>19510.43</v>
      </c>
      <c r="I106" s="15" t="s">
        <v>24</v>
      </c>
      <c r="J106" s="13"/>
      <c r="K106" s="16" t="str">
        <f>IF(AND(H106&gt;0,J106&gt;0),(J106-H106)/H106,"")</f>
        <v/>
      </c>
      <c r="L106" s="13"/>
      <c r="M106" s="16" t="str">
        <f>IF(AND(J106&gt;0,L106&gt;0),(L106-J106)/J106,IF(AND(H106&gt;0,L106&gt;0),(L106-H106)/H106,""))</f>
        <v/>
      </c>
      <c r="N106" s="14">
        <v>45860</v>
      </c>
      <c r="O106" s="13">
        <v>19510.43</v>
      </c>
      <c r="P106" s="16" t="str">
        <f>IF(AND(L106&gt;0,O106&gt;0),(O106-L106)/L106,"")</f>
        <v/>
      </c>
      <c r="Q106" s="18"/>
      <c r="R106" s="18">
        <v>1</v>
      </c>
      <c r="S106" s="10">
        <f>IF(N106&gt;0,TODAY()-N106,"")</f>
        <v>251</v>
      </c>
    </row>
    <row r="107" ht="17" customHeight="1" spans="1:19" x14ac:dyDescent="0.25">
      <c r="A107" s="3" t="s">
        <v>20</v>
      </c>
      <c r="B107" s="3" t="s">
        <v>117</v>
      </c>
      <c r="C107" s="3" t="s">
        <v>236</v>
      </c>
      <c r="D107" s="3" t="s">
        <v>237</v>
      </c>
      <c r="E107" s="4">
        <v>400</v>
      </c>
      <c r="F107" s="5">
        <v>7.555</v>
      </c>
      <c r="G107" s="6">
        <v>45684</v>
      </c>
      <c r="H107" s="5">
        <v>7.83</v>
      </c>
      <c r="I107" s="7" t="s">
        <v>24</v>
      </c>
      <c r="J107" s="5"/>
      <c r="K107" s="8" t="str">
        <f>IF(AND(H107&gt;0,J107&gt;0),(J107-H107)/H107,"")</f>
        <v/>
      </c>
      <c r="L107" s="5"/>
      <c r="M107" s="8" t="str">
        <f>IF(AND(J107&gt;0,L107&gt;0),(L107-J107)/J107,IF(AND(H107&gt;0,L107&gt;0),(L107-H107)/H107,""))</f>
        <v/>
      </c>
      <c r="N107" s="6">
        <v>45800</v>
      </c>
      <c r="O107" s="5">
        <v>7.4</v>
      </c>
      <c r="P107" s="8" t="str">
        <f>IF(AND(L107&gt;0,O107&gt;0),(O107-L107)/L107,"")</f>
        <v/>
      </c>
      <c r="Q107" s="9">
        <v>58</v>
      </c>
      <c r="R107" s="9">
        <v>3</v>
      </c>
      <c r="S107" s="10">
        <f>IF(N107&gt;0,TODAY()-N107,"")</f>
        <v>311</v>
      </c>
    </row>
    <row r="108" ht="17" customHeight="1" spans="1:19" x14ac:dyDescent="0.25">
      <c r="A108" s="11" t="s">
        <v>20</v>
      </c>
      <c r="B108" s="11" t="s">
        <v>117</v>
      </c>
      <c r="C108" s="11" t="s">
        <v>238</v>
      </c>
      <c r="D108" s="11" t="s">
        <v>239</v>
      </c>
      <c r="E108" s="12">
        <v>200</v>
      </c>
      <c r="F108" s="13">
        <v>25.5</v>
      </c>
      <c r="G108" s="14">
        <v>45806</v>
      </c>
      <c r="H108" s="13">
        <v>27</v>
      </c>
      <c r="I108" s="15" t="s">
        <v>24</v>
      </c>
      <c r="J108" s="13"/>
      <c r="K108" s="16" t="str">
        <f>IF(AND(H108&gt;0,J108&gt;0),(J108-H108)/H108,"")</f>
        <v/>
      </c>
      <c r="L108" s="13"/>
      <c r="M108" s="16" t="str">
        <f>IF(AND(J108&gt;0,L108&gt;0),(L108-J108)/J108,IF(AND(H108&gt;0,L108&gt;0),(L108-H108)/H108,""))</f>
        <v/>
      </c>
      <c r="N108" s="14">
        <v>45854</v>
      </c>
      <c r="O108" s="13">
        <v>24</v>
      </c>
      <c r="P108" s="16" t="str">
        <f>IF(AND(L108&gt;0,O108&gt;0),(O108-L108)/L108,"")</f>
        <v/>
      </c>
      <c r="Q108" s="18">
        <v>48</v>
      </c>
      <c r="R108" s="18">
        <v>2</v>
      </c>
      <c r="S108" s="10">
        <f>IF(N108&gt;0,TODAY()-N108,"")</f>
        <v>257</v>
      </c>
    </row>
    <row r="109" ht="17" customHeight="1" spans="1:19" x14ac:dyDescent="0.25">
      <c r="A109" s="3" t="s">
        <v>20</v>
      </c>
      <c r="B109" s="3" t="s">
        <v>117</v>
      </c>
      <c r="C109" s="3" t="s">
        <v>240</v>
      </c>
      <c r="D109" s="3" t="s">
        <v>241</v>
      </c>
      <c r="E109" s="4">
        <v>900</v>
      </c>
      <c r="F109" s="5">
        <v>42.06666666666667</v>
      </c>
      <c r="G109" s="6">
        <v>45684</v>
      </c>
      <c r="H109" s="5">
        <v>36</v>
      </c>
      <c r="I109" s="7" t="s">
        <v>24</v>
      </c>
      <c r="J109" s="5"/>
      <c r="K109" s="8" t="str">
        <f>IF(AND(H109&gt;0,J109&gt;0),(J109-H109)/H109,"")</f>
        <v/>
      </c>
      <c r="L109" s="5">
        <v>56</v>
      </c>
      <c r="M109" s="23">
        <f>IF(AND(J109&gt;0,L109&gt;0),(L109-J109)/J109,IF(AND(H109&gt;0,L109&gt;0),(L109-H109)/H109,""))</f>
        <v>0.5555555555555556</v>
      </c>
      <c r="N109" s="6">
        <v>46072</v>
      </c>
      <c r="O109" s="5">
        <v>57.6</v>
      </c>
      <c r="P109" s="24">
        <f>IF(AND(L109&gt;0,O109&gt;0),(O109-L109)/L109,"")</f>
        <v>0.0285714285714286</v>
      </c>
      <c r="Q109" s="9">
        <v>49</v>
      </c>
      <c r="R109" s="9">
        <v>9</v>
      </c>
      <c r="S109" s="9">
        <f>IF(N109&gt;0,TODAY()-N109,"")</f>
        <v>39</v>
      </c>
    </row>
    <row r="110" ht="17" customHeight="1" spans="1:19" x14ac:dyDescent="0.25">
      <c r="A110" s="11" t="s">
        <v>20</v>
      </c>
      <c r="B110" s="11" t="s">
        <v>117</v>
      </c>
      <c r="C110" s="11" t="s">
        <v>242</v>
      </c>
      <c r="D110" s="11" t="s">
        <v>243</v>
      </c>
      <c r="E110" s="12">
        <v>386</v>
      </c>
      <c r="F110" s="13">
        <v>25.441398963730574</v>
      </c>
      <c r="G110" s="14">
        <v>45721</v>
      </c>
      <c r="H110" s="13">
        <v>24.83</v>
      </c>
      <c r="I110" s="15" t="s">
        <v>57</v>
      </c>
      <c r="J110" s="13">
        <v>25.42</v>
      </c>
      <c r="K110" s="17">
        <f>IF(AND(H110&gt;0,J110&gt;0),(J110-H110)/H110,"")</f>
        <v>0.023761578735400867</v>
      </c>
      <c r="L110" s="13"/>
      <c r="M110" s="16" t="str">
        <f>IF(AND(J110&gt;0,L110&gt;0),(L110-J110)/J110,IF(AND(H110&gt;0,L110&gt;0),(L110-H110)/H110,""))</f>
        <v/>
      </c>
      <c r="N110" s="14">
        <v>45938</v>
      </c>
      <c r="O110" s="13">
        <v>25.42</v>
      </c>
      <c r="P110" s="16" t="str">
        <f>IF(AND(L110&gt;0,O110&gt;0),(O110-L110)/L110,"")</f>
        <v/>
      </c>
      <c r="Q110" s="18">
        <v>72</v>
      </c>
      <c r="R110" s="18">
        <v>4</v>
      </c>
      <c r="S110" s="21">
        <f>IF(N110&gt;0,TODAY()-N110,"")</f>
        <v>173</v>
      </c>
    </row>
    <row r="111" ht="17" customHeight="1" spans="1:19" x14ac:dyDescent="0.25">
      <c r="A111" s="3" t="s">
        <v>20</v>
      </c>
      <c r="B111" s="3" t="s">
        <v>117</v>
      </c>
      <c r="C111" s="3" t="s">
        <v>244</v>
      </c>
      <c r="D111" s="3" t="s">
        <v>245</v>
      </c>
      <c r="E111" s="4">
        <v>480</v>
      </c>
      <c r="F111" s="5">
        <v>10.33</v>
      </c>
      <c r="G111" s="6">
        <v>45721</v>
      </c>
      <c r="H111" s="5">
        <v>9.16</v>
      </c>
      <c r="I111" s="7" t="s">
        <v>24</v>
      </c>
      <c r="J111" s="5"/>
      <c r="K111" s="8" t="str">
        <f>IF(AND(H111&gt;0,J111&gt;0),(J111-H111)/H111,"")</f>
        <v/>
      </c>
      <c r="L111" s="5"/>
      <c r="M111" s="8" t="str">
        <f>IF(AND(J111&gt;0,L111&gt;0),(L111-J111)/J111,IF(AND(H111&gt;0,L111&gt;0),(L111-H111)/H111,""))</f>
        <v/>
      </c>
      <c r="N111" s="6">
        <v>45895</v>
      </c>
      <c r="O111" s="5">
        <v>11.5</v>
      </c>
      <c r="P111" s="8" t="str">
        <f>IF(AND(L111&gt;0,O111&gt;0),(O111-L111)/L111,"")</f>
        <v/>
      </c>
      <c r="Q111" s="9">
        <v>174</v>
      </c>
      <c r="R111" s="9">
        <v>2</v>
      </c>
      <c r="S111" s="10">
        <f>IF(N111&gt;0,TODAY()-N111,"")</f>
        <v>216</v>
      </c>
    </row>
    <row r="112" ht="17" customHeight="1" spans="1:19" x14ac:dyDescent="0.25">
      <c r="A112" s="11" t="s">
        <v>20</v>
      </c>
      <c r="B112" s="11" t="s">
        <v>117</v>
      </c>
      <c r="C112" s="11" t="s">
        <v>246</v>
      </c>
      <c r="D112" s="11" t="s">
        <v>247</v>
      </c>
      <c r="E112" s="12">
        <v>300</v>
      </c>
      <c r="F112" s="13">
        <v>14.165</v>
      </c>
      <c r="G112" s="14">
        <v>45721</v>
      </c>
      <c r="H112" s="13">
        <v>14</v>
      </c>
      <c r="I112" s="15" t="s">
        <v>57</v>
      </c>
      <c r="J112" s="13">
        <v>14.33</v>
      </c>
      <c r="K112" s="17">
        <f>IF(AND(H112&gt;0,J112&gt;0),(J112-H112)/H112,"")</f>
        <v>0.023571428571428577</v>
      </c>
      <c r="L112" s="13"/>
      <c r="M112" s="16" t="str">
        <f>IF(AND(J112&gt;0,L112&gt;0),(L112-J112)/J112,IF(AND(H112&gt;0,L112&gt;0),(L112-H112)/H112,""))</f>
        <v/>
      </c>
      <c r="N112" s="14">
        <v>45938</v>
      </c>
      <c r="O112" s="13">
        <v>14.33</v>
      </c>
      <c r="P112" s="16" t="str">
        <f>IF(AND(L112&gt;0,O112&gt;0),(O112-L112)/L112,"")</f>
        <v/>
      </c>
      <c r="Q112" s="18">
        <v>217</v>
      </c>
      <c r="R112" s="18">
        <v>2</v>
      </c>
      <c r="S112" s="21">
        <f>IF(N112&gt;0,TODAY()-N112,"")</f>
        <v>173</v>
      </c>
    </row>
    <row r="113" ht="17" customHeight="1" spans="1:19" x14ac:dyDescent="0.25">
      <c r="A113" s="3" t="s">
        <v>20</v>
      </c>
      <c r="B113" s="3" t="s">
        <v>117</v>
      </c>
      <c r="C113" s="3" t="s">
        <v>248</v>
      </c>
      <c r="D113" s="3" t="s">
        <v>249</v>
      </c>
      <c r="E113" s="4">
        <v>20</v>
      </c>
      <c r="F113" s="5">
        <v>29.5</v>
      </c>
      <c r="G113" s="6">
        <v>46071</v>
      </c>
      <c r="H113" s="5">
        <v>29.5</v>
      </c>
      <c r="I113" s="7" t="s">
        <v>24</v>
      </c>
      <c r="J113" s="5"/>
      <c r="K113" s="8" t="str">
        <f>IF(AND(H113&gt;0,J113&gt;0),(J113-H113)/H113,"")</f>
        <v/>
      </c>
      <c r="L113" s="5"/>
      <c r="M113" s="8" t="str">
        <f>IF(AND(J113&gt;0,L113&gt;0),(L113-J113)/J113,IF(AND(H113&gt;0,L113&gt;0),(L113-H113)/H113,""))</f>
        <v/>
      </c>
      <c r="N113" s="6">
        <v>46071</v>
      </c>
      <c r="O113" s="5">
        <v>29.5</v>
      </c>
      <c r="P113" s="24">
        <f>IF(AND(L113&gt;0,O113&gt;0),(O113-L113)/L113,"")</f>
        <v>0</v>
      </c>
      <c r="Q113" s="9"/>
      <c r="R113" s="9">
        <v>1</v>
      </c>
      <c r="S113" s="9">
        <f>IF(N113&gt;0,TODAY()-N113,"")</f>
        <v>40</v>
      </c>
    </row>
    <row r="114" ht="17" customHeight="1" spans="1:19" x14ac:dyDescent="0.25">
      <c r="A114" s="11" t="s">
        <v>20</v>
      </c>
      <c r="B114" s="11" t="s">
        <v>117</v>
      </c>
      <c r="C114" s="11" t="s">
        <v>250</v>
      </c>
      <c r="D114" s="11" t="s">
        <v>251</v>
      </c>
      <c r="E114" s="12">
        <v>20</v>
      </c>
      <c r="F114" s="13">
        <v>48.739999999999995</v>
      </c>
      <c r="G114" s="14">
        <v>46059</v>
      </c>
      <c r="H114" s="13">
        <v>48.74</v>
      </c>
      <c r="I114" s="15" t="s">
        <v>24</v>
      </c>
      <c r="J114" s="13"/>
      <c r="K114" s="16" t="str">
        <f>IF(AND(H114&gt;0,J114&gt;0),(J114-H114)/H114,"")</f>
        <v/>
      </c>
      <c r="L114" s="13"/>
      <c r="M114" s="16" t="str">
        <f>IF(AND(J114&gt;0,L114&gt;0),(L114-J114)/J114,IF(AND(H114&gt;0,L114&gt;0),(L114-H114)/H114,""))</f>
        <v/>
      </c>
      <c r="N114" s="14">
        <v>46059</v>
      </c>
      <c r="O114" s="13">
        <v>48.74</v>
      </c>
      <c r="P114" s="17">
        <f>IF(AND(L114&gt;0,O114&gt;0),(O114-L114)/L114,"")</f>
        <v>0</v>
      </c>
      <c r="Q114" s="18"/>
      <c r="R114" s="18">
        <v>1</v>
      </c>
      <c r="S114" s="18">
        <f>IF(N114&gt;0,TODAY()-N114,"")</f>
        <v>52</v>
      </c>
    </row>
    <row r="115" ht="17" customHeight="1" spans="1:19" x14ac:dyDescent="0.25">
      <c r="A115" s="3" t="s">
        <v>20</v>
      </c>
      <c r="B115" s="3" t="s">
        <v>117</v>
      </c>
      <c r="C115" s="3" t="s">
        <v>252</v>
      </c>
      <c r="D115" s="3" t="s">
        <v>253</v>
      </c>
      <c r="E115" s="4">
        <v>331</v>
      </c>
      <c r="F115" s="5">
        <v>109.64818676132933</v>
      </c>
      <c r="G115" s="6">
        <v>45671</v>
      </c>
      <c r="H115" s="5">
        <v>97.71</v>
      </c>
      <c r="I115" s="7" t="s">
        <v>54</v>
      </c>
      <c r="J115" s="5">
        <v>117.85</v>
      </c>
      <c r="K115" s="22">
        <f>IF(AND(H115&gt;0,J115&gt;0),(J115-H115)/H115,"")</f>
        <v>0.2061201514686317</v>
      </c>
      <c r="L115" s="5">
        <v>119.2</v>
      </c>
      <c r="M115" s="24">
        <f>IF(AND(J115&gt;0,L115&gt;0),(L115-J115)/J115,IF(AND(H115&gt;0,L115&gt;0),(L115-H115)/H115,""))</f>
        <v>0.01145523971149774</v>
      </c>
      <c r="N115" s="6">
        <v>46105</v>
      </c>
      <c r="O115" s="5">
        <v>121.67</v>
      </c>
      <c r="P115" s="24">
        <f>IF(AND(L115&gt;0,O115&gt;0),(O115-L115)/L115,"")</f>
        <v>0.020721476510067106</v>
      </c>
      <c r="Q115" s="9">
        <v>22</v>
      </c>
      <c r="R115" s="9">
        <v>21</v>
      </c>
      <c r="S115" s="9">
        <f>IF(N115&gt;0,TODAY()-N115,"")</f>
        <v>6</v>
      </c>
    </row>
    <row r="116" ht="17" customHeight="1" spans="1:19" x14ac:dyDescent="0.25">
      <c r="A116" s="11" t="s">
        <v>20</v>
      </c>
      <c r="B116" s="11" t="s">
        <v>117</v>
      </c>
      <c r="C116" s="11" t="s">
        <v>254</v>
      </c>
      <c r="D116" s="11" t="s">
        <v>255</v>
      </c>
      <c r="E116" s="12">
        <v>200</v>
      </c>
      <c r="F116" s="13">
        <v>133.165</v>
      </c>
      <c r="G116" s="14">
        <v>45713</v>
      </c>
      <c r="H116" s="13">
        <v>128</v>
      </c>
      <c r="I116" s="15" t="s">
        <v>57</v>
      </c>
      <c r="J116" s="13">
        <v>138.33</v>
      </c>
      <c r="K116" s="17">
        <f>IF(AND(H116&gt;0,J116&gt;0),(J116-H116)/H116,"")</f>
        <v>0.08070312500000011</v>
      </c>
      <c r="L116" s="13"/>
      <c r="M116" s="16" t="str">
        <f>IF(AND(J116&gt;0,L116&gt;0),(L116-J116)/J116,IF(AND(H116&gt;0,L116&gt;0),(L116-H116)/H116,""))</f>
        <v/>
      </c>
      <c r="N116" s="14">
        <v>45944</v>
      </c>
      <c r="O116" s="13">
        <v>138.33</v>
      </c>
      <c r="P116" s="16" t="str">
        <f>IF(AND(L116&gt;0,O116&gt;0),(O116-L116)/L116,"")</f>
        <v/>
      </c>
      <c r="Q116" s="18">
        <v>231</v>
      </c>
      <c r="R116" s="18">
        <v>2</v>
      </c>
      <c r="S116" s="21">
        <f>IF(N116&gt;0,TODAY()-N116,"")</f>
        <v>167</v>
      </c>
    </row>
    <row r="117" ht="17" customHeight="1" spans="1:19" x14ac:dyDescent="0.25">
      <c r="A117" s="3" t="s">
        <v>20</v>
      </c>
      <c r="B117" s="3" t="s">
        <v>117</v>
      </c>
      <c r="C117" s="3" t="s">
        <v>256</v>
      </c>
      <c r="D117" s="3" t="s">
        <v>257</v>
      </c>
      <c r="E117" s="4">
        <v>200</v>
      </c>
      <c r="F117" s="5">
        <v>132.15</v>
      </c>
      <c r="G117" s="6">
        <v>45713</v>
      </c>
      <c r="H117" s="5">
        <v>128</v>
      </c>
      <c r="I117" s="7" t="s">
        <v>57</v>
      </c>
      <c r="J117" s="5">
        <v>136.3</v>
      </c>
      <c r="K117" s="24">
        <f>IF(AND(H117&gt;0,J117&gt;0),(J117-H117)/H117,"")</f>
        <v>0.06484375000000009</v>
      </c>
      <c r="L117" s="5"/>
      <c r="M117" s="8" t="str">
        <f>IF(AND(J117&gt;0,L117&gt;0),(L117-J117)/J117,IF(AND(H117&gt;0,L117&gt;0),(L117-H117)/H117,""))</f>
        <v/>
      </c>
      <c r="N117" s="6">
        <v>45944</v>
      </c>
      <c r="O117" s="5">
        <v>136.3</v>
      </c>
      <c r="P117" s="8" t="str">
        <f>IF(AND(L117&gt;0,O117&gt;0),(O117-L117)/L117,"")</f>
        <v/>
      </c>
      <c r="Q117" s="9">
        <v>231</v>
      </c>
      <c r="R117" s="9">
        <v>2</v>
      </c>
      <c r="S117" s="21">
        <f>IF(N117&gt;0,TODAY()-N117,"")</f>
        <v>167</v>
      </c>
    </row>
    <row r="118" ht="17" customHeight="1" spans="1:19" x14ac:dyDescent="0.25">
      <c r="A118" s="11" t="s">
        <v>20</v>
      </c>
      <c r="B118" s="11" t="s">
        <v>117</v>
      </c>
      <c r="C118" s="11" t="s">
        <v>258</v>
      </c>
      <c r="D118" s="11" t="s">
        <v>259</v>
      </c>
      <c r="E118" s="12">
        <v>200</v>
      </c>
      <c r="F118" s="13">
        <v>30.08</v>
      </c>
      <c r="G118" s="14">
        <v>45721</v>
      </c>
      <c r="H118" s="13">
        <v>30.08</v>
      </c>
      <c r="I118" s="15" t="s">
        <v>24</v>
      </c>
      <c r="J118" s="13"/>
      <c r="K118" s="16" t="str">
        <f>IF(AND(H118&gt;0,J118&gt;0),(J118-H118)/H118,"")</f>
        <v/>
      </c>
      <c r="L118" s="13"/>
      <c r="M118" s="16" t="str">
        <f>IF(AND(J118&gt;0,L118&gt;0),(L118-J118)/J118,IF(AND(H118&gt;0,L118&gt;0),(L118-H118)/H118,""))</f>
        <v/>
      </c>
      <c r="N118" s="14">
        <v>45721</v>
      </c>
      <c r="O118" s="13">
        <v>30.08</v>
      </c>
      <c r="P118" s="16" t="str">
        <f>IF(AND(L118&gt;0,O118&gt;0),(O118-L118)/L118,"")</f>
        <v/>
      </c>
      <c r="Q118" s="18"/>
      <c r="R118" s="18">
        <v>1</v>
      </c>
      <c r="S118" s="10">
        <f>IF(N118&gt;0,TODAY()-N118,"")</f>
        <v>390</v>
      </c>
    </row>
    <row r="119" ht="17" customHeight="1" spans="1:19" x14ac:dyDescent="0.25">
      <c r="A119" s="3" t="s">
        <v>20</v>
      </c>
      <c r="B119" s="3" t="s">
        <v>117</v>
      </c>
      <c r="C119" s="3" t="s">
        <v>260</v>
      </c>
      <c r="D119" s="3" t="s">
        <v>261</v>
      </c>
      <c r="E119" s="4">
        <v>150</v>
      </c>
      <c r="F119" s="5">
        <v>80</v>
      </c>
      <c r="G119" s="6">
        <v>45749</v>
      </c>
      <c r="H119" s="5">
        <v>80</v>
      </c>
      <c r="I119" s="7" t="s">
        <v>24</v>
      </c>
      <c r="J119" s="5"/>
      <c r="K119" s="8" t="str">
        <f>IF(AND(H119&gt;0,J119&gt;0),(J119-H119)/H119,"")</f>
        <v/>
      </c>
      <c r="L119" s="5"/>
      <c r="M119" s="8" t="str">
        <f>IF(AND(J119&gt;0,L119&gt;0),(L119-J119)/J119,IF(AND(H119&gt;0,L119&gt;0),(L119-H119)/H119,""))</f>
        <v/>
      </c>
      <c r="N119" s="6">
        <v>45758</v>
      </c>
      <c r="O119" s="5">
        <v>80</v>
      </c>
      <c r="P119" s="8" t="str">
        <f>IF(AND(L119&gt;0,O119&gt;0),(O119-L119)/L119,"")</f>
        <v/>
      </c>
      <c r="Q119" s="9">
        <v>9</v>
      </c>
      <c r="R119" s="9">
        <v>2</v>
      </c>
      <c r="S119" s="10">
        <f>IF(N119&gt;0,TODAY()-N119,"")</f>
        <v>353</v>
      </c>
    </row>
    <row r="120" ht="17" customHeight="1" spans="1:19" x14ac:dyDescent="0.25">
      <c r="A120" s="11" t="s">
        <v>20</v>
      </c>
      <c r="B120" s="11" t="s">
        <v>117</v>
      </c>
      <c r="C120" s="11" t="s">
        <v>262</v>
      </c>
      <c r="D120" s="11" t="s">
        <v>263</v>
      </c>
      <c r="E120" s="12">
        <v>600</v>
      </c>
      <c r="F120" s="13">
        <v>10.829116666666668</v>
      </c>
      <c r="G120" s="14">
        <v>45700</v>
      </c>
      <c r="H120" s="13">
        <v>10.88</v>
      </c>
      <c r="I120" s="15" t="s">
        <v>24</v>
      </c>
      <c r="J120" s="13"/>
      <c r="K120" s="16" t="str">
        <f>IF(AND(H120&gt;0,J120&gt;0),(J120-H120)/H120,"")</f>
        <v/>
      </c>
      <c r="L120" s="13"/>
      <c r="M120" s="16" t="str">
        <f>IF(AND(J120&gt;0,L120&gt;0),(L120-J120)/J120,IF(AND(H120&gt;0,L120&gt;0),(L120-H120)/H120,""))</f>
        <v/>
      </c>
      <c r="N120" s="14">
        <v>45854</v>
      </c>
      <c r="O120" s="13">
        <v>12.97</v>
      </c>
      <c r="P120" s="16" t="str">
        <f>IF(AND(L120&gt;0,O120&gt;0),(O120-L120)/L120,"")</f>
        <v/>
      </c>
      <c r="Q120" s="18">
        <v>51</v>
      </c>
      <c r="R120" s="18">
        <v>4</v>
      </c>
      <c r="S120" s="10">
        <f>IF(N120&gt;0,TODAY()-N120,"")</f>
        <v>257</v>
      </c>
    </row>
    <row r="121" ht="17" customHeight="1" spans="1:19" x14ac:dyDescent="0.25">
      <c r="A121" s="3" t="s">
        <v>20</v>
      </c>
      <c r="B121" s="3" t="s">
        <v>117</v>
      </c>
      <c r="C121" s="3" t="s">
        <v>264</v>
      </c>
      <c r="D121" s="3" t="s">
        <v>265</v>
      </c>
      <c r="E121" s="4">
        <v>600</v>
      </c>
      <c r="F121" s="5">
        <v>15.574666666666666</v>
      </c>
      <c r="G121" s="6">
        <v>45721</v>
      </c>
      <c r="H121" s="5">
        <v>14.97</v>
      </c>
      <c r="I121" s="7" t="s">
        <v>24</v>
      </c>
      <c r="J121" s="5"/>
      <c r="K121" s="8" t="str">
        <f>IF(AND(H121&gt;0,J121&gt;0),(J121-H121)/H121,"")</f>
        <v/>
      </c>
      <c r="L121" s="5"/>
      <c r="M121" s="8" t="str">
        <f>IF(AND(J121&gt;0,L121&gt;0),(L121-J121)/J121,IF(AND(H121&gt;0,L121&gt;0),(L121-H121)/H121,""))</f>
        <v/>
      </c>
      <c r="N121" s="6">
        <v>45854</v>
      </c>
      <c r="O121" s="5">
        <v>16.57</v>
      </c>
      <c r="P121" s="8" t="str">
        <f>IF(AND(L121&gt;0,O121&gt;0),(O121-L121)/L121,"")</f>
        <v/>
      </c>
      <c r="Q121" s="9">
        <v>44</v>
      </c>
      <c r="R121" s="9">
        <v>4</v>
      </c>
      <c r="S121" s="10">
        <f>IF(N121&gt;0,TODAY()-N121,"")</f>
        <v>257</v>
      </c>
    </row>
    <row r="122" ht="17" customHeight="1" spans="1:19" x14ac:dyDescent="0.25">
      <c r="A122" s="11" t="s">
        <v>20</v>
      </c>
      <c r="B122" s="11" t="s">
        <v>117</v>
      </c>
      <c r="C122" s="11" t="s">
        <v>266</v>
      </c>
      <c r="D122" s="11" t="s">
        <v>267</v>
      </c>
      <c r="E122" s="12">
        <v>700</v>
      </c>
      <c r="F122" s="13">
        <v>21.89908571428571</v>
      </c>
      <c r="G122" s="14">
        <v>45721</v>
      </c>
      <c r="H122" s="13">
        <v>20.45</v>
      </c>
      <c r="I122" s="15" t="s">
        <v>24</v>
      </c>
      <c r="J122" s="13"/>
      <c r="K122" s="16" t="str">
        <f>IF(AND(H122&gt;0,J122&gt;0),(J122-H122)/H122,"")</f>
        <v/>
      </c>
      <c r="L122" s="13">
        <v>25.61</v>
      </c>
      <c r="M122" s="23">
        <f>IF(AND(J122&gt;0,L122&gt;0),(L122-J122)/J122,IF(AND(H122&gt;0,L122&gt;0),(L122-H122)/H122,""))</f>
        <v>0.2523227383863081</v>
      </c>
      <c r="N122" s="14">
        <v>46034</v>
      </c>
      <c r="O122" s="13">
        <v>25.61</v>
      </c>
      <c r="P122" s="16" t="str">
        <f>IF(AND(L122&gt;0,O122&gt;0),(O122-L122)/L122,"")</f>
        <v/>
      </c>
      <c r="Q122" s="18">
        <v>78</v>
      </c>
      <c r="R122" s="18">
        <v>5</v>
      </c>
      <c r="S122" s="19">
        <f>IF(N122&gt;0,TODAY()-N122,"")</f>
        <v>77</v>
      </c>
    </row>
    <row r="123" ht="17" customHeight="1" spans="1:19" x14ac:dyDescent="0.25">
      <c r="A123" s="3" t="s">
        <v>20</v>
      </c>
      <c r="B123" s="3" t="s">
        <v>117</v>
      </c>
      <c r="C123" s="3" t="s">
        <v>268</v>
      </c>
      <c r="D123" s="3" t="s">
        <v>269</v>
      </c>
      <c r="E123" s="4">
        <v>150</v>
      </c>
      <c r="F123" s="5">
        <v>26.466666666666665</v>
      </c>
      <c r="G123" s="6">
        <v>45806</v>
      </c>
      <c r="H123" s="5">
        <v>26.5</v>
      </c>
      <c r="I123" s="7" t="s">
        <v>24</v>
      </c>
      <c r="J123" s="5"/>
      <c r="K123" s="8" t="str">
        <f>IF(AND(H123&gt;0,J123&gt;0),(J123-H123)/H123,"")</f>
        <v/>
      </c>
      <c r="L123" s="5"/>
      <c r="M123" s="8" t="str">
        <f>IF(AND(J123&gt;0,L123&gt;0),(L123-J123)/J123,IF(AND(H123&gt;0,L123&gt;0),(L123-H123)/H123,""))</f>
        <v/>
      </c>
      <c r="N123" s="6">
        <v>45854</v>
      </c>
      <c r="O123" s="5">
        <v>26.4</v>
      </c>
      <c r="P123" s="8" t="str">
        <f>IF(AND(L123&gt;0,O123&gt;0),(O123-L123)/L123,"")</f>
        <v/>
      </c>
      <c r="Q123" s="9">
        <v>48</v>
      </c>
      <c r="R123" s="9">
        <v>2</v>
      </c>
      <c r="S123" s="10">
        <f>IF(N123&gt;0,TODAY()-N123,"")</f>
        <v>257</v>
      </c>
    </row>
    <row r="124" ht="17" customHeight="1" spans="1:19" x14ac:dyDescent="0.25">
      <c r="A124" s="11" t="s">
        <v>20</v>
      </c>
      <c r="B124" s="11" t="s">
        <v>117</v>
      </c>
      <c r="C124" s="11" t="s">
        <v>270</v>
      </c>
      <c r="D124" s="11" t="s">
        <v>271</v>
      </c>
      <c r="E124" s="12">
        <v>200</v>
      </c>
      <c r="F124" s="13">
        <v>49.35</v>
      </c>
      <c r="G124" s="14">
        <v>45721</v>
      </c>
      <c r="H124" s="13">
        <v>49.35</v>
      </c>
      <c r="I124" s="15" t="s">
        <v>24</v>
      </c>
      <c r="J124" s="13"/>
      <c r="K124" s="16" t="str">
        <f>IF(AND(H124&gt;0,J124&gt;0),(J124-H124)/H124,"")</f>
        <v/>
      </c>
      <c r="L124" s="13"/>
      <c r="M124" s="16" t="str">
        <f>IF(AND(J124&gt;0,L124&gt;0),(L124-J124)/J124,IF(AND(H124&gt;0,L124&gt;0),(L124-H124)/H124,""))</f>
        <v/>
      </c>
      <c r="N124" s="14">
        <v>45721</v>
      </c>
      <c r="O124" s="13">
        <v>49.35</v>
      </c>
      <c r="P124" s="16" t="str">
        <f>IF(AND(L124&gt;0,O124&gt;0),(O124-L124)/L124,"")</f>
        <v/>
      </c>
      <c r="Q124" s="18"/>
      <c r="R124" s="18">
        <v>1</v>
      </c>
      <c r="S124" s="10">
        <f>IF(N124&gt;0,TODAY()-N124,"")</f>
        <v>390</v>
      </c>
    </row>
    <row r="125" ht="17" customHeight="1" spans="1:19" x14ac:dyDescent="0.25">
      <c r="A125" s="3" t="s">
        <v>20</v>
      </c>
      <c r="B125" s="3" t="s">
        <v>117</v>
      </c>
      <c r="C125" s="3" t="s">
        <v>272</v>
      </c>
      <c r="D125" s="3" t="s">
        <v>273</v>
      </c>
      <c r="E125" s="4">
        <v>600</v>
      </c>
      <c r="F125" s="5">
        <v>12.665166666666668</v>
      </c>
      <c r="G125" s="6">
        <v>45721</v>
      </c>
      <c r="H125" s="5">
        <v>11.71</v>
      </c>
      <c r="I125" s="7" t="s">
        <v>24</v>
      </c>
      <c r="J125" s="5"/>
      <c r="K125" s="8" t="str">
        <f>IF(AND(H125&gt;0,J125&gt;0),(J125-H125)/H125,"")</f>
        <v/>
      </c>
      <c r="L125" s="5">
        <v>14.85</v>
      </c>
      <c r="M125" s="23">
        <f>IF(AND(J125&gt;0,L125&gt;0),(L125-J125)/J125,IF(AND(H125&gt;0,L125&gt;0),(L125-H125)/H125,""))</f>
        <v>0.26814688300597767</v>
      </c>
      <c r="N125" s="6">
        <v>46049</v>
      </c>
      <c r="O125" s="5">
        <v>14.85</v>
      </c>
      <c r="P125" s="8" t="str">
        <f>IF(AND(L125&gt;0,O125&gt;0),(O125-L125)/L125,"")</f>
        <v/>
      </c>
      <c r="Q125" s="9">
        <v>109</v>
      </c>
      <c r="R125" s="9">
        <v>4</v>
      </c>
      <c r="S125" s="19">
        <f>IF(N125&gt;0,TODAY()-N125,"")</f>
        <v>62</v>
      </c>
    </row>
    <row r="126" ht="17" customHeight="1" spans="1:19" x14ac:dyDescent="0.25">
      <c r="A126" s="11" t="s">
        <v>20</v>
      </c>
      <c r="B126" s="11" t="s">
        <v>117</v>
      </c>
      <c r="C126" s="11" t="s">
        <v>274</v>
      </c>
      <c r="D126" s="11" t="s">
        <v>275</v>
      </c>
      <c r="E126" s="12">
        <v>200</v>
      </c>
      <c r="F126" s="13">
        <v>9.97</v>
      </c>
      <c r="G126" s="14">
        <v>45733</v>
      </c>
      <c r="H126" s="13">
        <v>9.97</v>
      </c>
      <c r="I126" s="15" t="s">
        <v>24</v>
      </c>
      <c r="J126" s="13"/>
      <c r="K126" s="16" t="str">
        <f>IF(AND(H126&gt;0,J126&gt;0),(J126-H126)/H126,"")</f>
        <v/>
      </c>
      <c r="L126" s="13"/>
      <c r="M126" s="16" t="str">
        <f>IF(AND(J126&gt;0,L126&gt;0),(L126-J126)/J126,IF(AND(H126&gt;0,L126&gt;0),(L126-H126)/H126,""))</f>
        <v/>
      </c>
      <c r="N126" s="14">
        <v>45733</v>
      </c>
      <c r="O126" s="13">
        <v>9.97</v>
      </c>
      <c r="P126" s="16" t="str">
        <f>IF(AND(L126&gt;0,O126&gt;0),(O126-L126)/L126,"")</f>
        <v/>
      </c>
      <c r="Q126" s="18"/>
      <c r="R126" s="18">
        <v>1</v>
      </c>
      <c r="S126" s="10">
        <f>IF(N126&gt;0,TODAY()-N126,"")</f>
        <v>378</v>
      </c>
    </row>
    <row r="127" ht="17" customHeight="1" spans="1:19" x14ac:dyDescent="0.25">
      <c r="A127" s="3" t="s">
        <v>20</v>
      </c>
      <c r="B127" s="3" t="s">
        <v>117</v>
      </c>
      <c r="C127" s="3" t="s">
        <v>276</v>
      </c>
      <c r="D127" s="3" t="s">
        <v>277</v>
      </c>
      <c r="E127" s="4">
        <v>300</v>
      </c>
      <c r="F127" s="5">
        <v>48.37933333333333</v>
      </c>
      <c r="G127" s="6">
        <v>45684</v>
      </c>
      <c r="H127" s="5">
        <v>48.12</v>
      </c>
      <c r="I127" s="7" t="s">
        <v>24</v>
      </c>
      <c r="J127" s="5"/>
      <c r="K127" s="8" t="str">
        <f>IF(AND(H127&gt;0,J127&gt;0),(J127-H127)/H127,"")</f>
        <v/>
      </c>
      <c r="L127" s="5"/>
      <c r="M127" s="8" t="str">
        <f>IF(AND(J127&gt;0,L127&gt;0),(L127-J127)/J127,IF(AND(H127&gt;0,L127&gt;0),(L127-H127)/H127,""))</f>
        <v/>
      </c>
      <c r="N127" s="6">
        <v>45721</v>
      </c>
      <c r="O127" s="5">
        <v>49.1</v>
      </c>
      <c r="P127" s="8" t="str">
        <f>IF(AND(L127&gt;0,O127&gt;0),(O127-L127)/L127,"")</f>
        <v/>
      </c>
      <c r="Q127" s="9">
        <v>19</v>
      </c>
      <c r="R127" s="9">
        <v>3</v>
      </c>
      <c r="S127" s="10">
        <f>IF(N127&gt;0,TODAY()-N127,"")</f>
        <v>390</v>
      </c>
    </row>
    <row r="128" ht="17" customHeight="1" spans="1:19" x14ac:dyDescent="0.25">
      <c r="A128" s="11" t="s">
        <v>20</v>
      </c>
      <c r="B128" s="11" t="s">
        <v>117</v>
      </c>
      <c r="C128" s="11" t="s">
        <v>278</v>
      </c>
      <c r="D128" s="11" t="s">
        <v>279</v>
      </c>
      <c r="E128" s="12">
        <v>300</v>
      </c>
      <c r="F128" s="13">
        <v>48.833400000000005</v>
      </c>
      <c r="G128" s="14">
        <v>45684</v>
      </c>
      <c r="H128" s="13">
        <v>49.48</v>
      </c>
      <c r="I128" s="15" t="s">
        <v>24</v>
      </c>
      <c r="J128" s="13"/>
      <c r="K128" s="16" t="str">
        <f>IF(AND(H128&gt;0,J128&gt;0),(J128-H128)/H128,"")</f>
        <v/>
      </c>
      <c r="L128" s="13"/>
      <c r="M128" s="16" t="str">
        <f>IF(AND(J128&gt;0,L128&gt;0),(L128-J128)/J128,IF(AND(H128&gt;0,L128&gt;0),(L128-H128)/H128,""))</f>
        <v/>
      </c>
      <c r="N128" s="14">
        <v>45721</v>
      </c>
      <c r="O128" s="13">
        <v>49.1</v>
      </c>
      <c r="P128" s="16" t="str">
        <f>IF(AND(L128&gt;0,O128&gt;0),(O128-L128)/L128,"")</f>
        <v/>
      </c>
      <c r="Q128" s="18">
        <v>19</v>
      </c>
      <c r="R128" s="18">
        <v>3</v>
      </c>
      <c r="S128" s="10">
        <f>IF(N128&gt;0,TODAY()-N128,"")</f>
        <v>390</v>
      </c>
    </row>
    <row r="129" ht="17" customHeight="1" spans="1:19" x14ac:dyDescent="0.25">
      <c r="A129" s="3" t="s">
        <v>20</v>
      </c>
      <c r="B129" s="3" t="s">
        <v>117</v>
      </c>
      <c r="C129" s="3" t="s">
        <v>280</v>
      </c>
      <c r="D129" s="3" t="s">
        <v>281</v>
      </c>
      <c r="E129" s="4">
        <v>100</v>
      </c>
      <c r="F129" s="5">
        <v>111</v>
      </c>
      <c r="G129" s="6">
        <v>46049</v>
      </c>
      <c r="H129" s="5">
        <v>111</v>
      </c>
      <c r="I129" s="7" t="s">
        <v>24</v>
      </c>
      <c r="J129" s="5"/>
      <c r="K129" s="8" t="str">
        <f>IF(AND(H129&gt;0,J129&gt;0),(J129-H129)/H129,"")</f>
        <v/>
      </c>
      <c r="L129" s="5">
        <v>111</v>
      </c>
      <c r="M129" s="24">
        <f>IF(AND(J129&gt;0,L129&gt;0),(L129-J129)/J129,IF(AND(H129&gt;0,L129&gt;0),(L129-H129)/H129,""))</f>
        <v>0</v>
      </c>
      <c r="N129" s="6">
        <v>46049</v>
      </c>
      <c r="O129" s="5">
        <v>111</v>
      </c>
      <c r="P129" s="8" t="str">
        <f>IF(AND(L129&gt;0,O129&gt;0),(O129-L129)/L129,"")</f>
        <v/>
      </c>
      <c r="Q129" s="9"/>
      <c r="R129" s="9">
        <v>1</v>
      </c>
      <c r="S129" s="19">
        <f>IF(N129&gt;0,TODAY()-N129,"")</f>
        <v>62</v>
      </c>
    </row>
    <row r="130" ht="17" customHeight="1" spans="1:19" x14ac:dyDescent="0.25">
      <c r="A130" s="11" t="s">
        <v>20</v>
      </c>
      <c r="B130" s="11" t="s">
        <v>117</v>
      </c>
      <c r="C130" s="11" t="s">
        <v>282</v>
      </c>
      <c r="D130" s="11" t="s">
        <v>283</v>
      </c>
      <c r="E130" s="12">
        <v>1900</v>
      </c>
      <c r="F130" s="13">
        <v>5.315789473684211</v>
      </c>
      <c r="G130" s="14">
        <v>45684</v>
      </c>
      <c r="H130" s="13">
        <v>5.25</v>
      </c>
      <c r="I130" s="15" t="s">
        <v>60</v>
      </c>
      <c r="J130" s="13">
        <v>6.93</v>
      </c>
      <c r="K130" s="23">
        <f>IF(AND(H130&gt;0,J130&gt;0),(J130-H130)/H130,"")</f>
        <v>0.31999999999999995</v>
      </c>
      <c r="L130" s="13"/>
      <c r="M130" s="16" t="str">
        <f>IF(AND(J130&gt;0,L130&gt;0),(L130-J130)/J130,IF(AND(H130&gt;0,L130&gt;0),(L130-H130)/H130,""))</f>
        <v/>
      </c>
      <c r="N130" s="14">
        <v>45980</v>
      </c>
      <c r="O130" s="13">
        <v>6.93</v>
      </c>
      <c r="P130" s="16" t="str">
        <f>IF(AND(L130&gt;0,O130&gt;0),(O130-L130)/L130,"")</f>
        <v/>
      </c>
      <c r="Q130" s="18">
        <v>42</v>
      </c>
      <c r="R130" s="18">
        <v>8</v>
      </c>
      <c r="S130" s="21">
        <f>IF(N130&gt;0,TODAY()-N130,"")</f>
        <v>131</v>
      </c>
    </row>
    <row r="131" ht="17" customHeight="1" spans="1:19" x14ac:dyDescent="0.25">
      <c r="A131" s="3" t="s">
        <v>20</v>
      </c>
      <c r="B131" s="3" t="s">
        <v>117</v>
      </c>
      <c r="C131" s="3" t="s">
        <v>284</v>
      </c>
      <c r="D131" s="3" t="s">
        <v>285</v>
      </c>
      <c r="E131" s="4">
        <v>600</v>
      </c>
      <c r="F131" s="5">
        <v>6.015</v>
      </c>
      <c r="G131" s="6">
        <v>45721</v>
      </c>
      <c r="H131" s="5">
        <v>5.61</v>
      </c>
      <c r="I131" s="7" t="s">
        <v>24</v>
      </c>
      <c r="J131" s="5"/>
      <c r="K131" s="8" t="str">
        <f>IF(AND(H131&gt;0,J131&gt;0),(J131-H131)/H131,"")</f>
        <v/>
      </c>
      <c r="L131" s="5">
        <v>9.83</v>
      </c>
      <c r="M131" s="23">
        <f>IF(AND(J131&gt;0,L131&gt;0),(L131-J131)/J131,IF(AND(H131&gt;0,L131&gt;0),(L131-H131)/H131,""))</f>
        <v>0.7522281639928697</v>
      </c>
      <c r="N131" s="6">
        <v>46034</v>
      </c>
      <c r="O131" s="5">
        <v>9.83</v>
      </c>
      <c r="P131" s="8" t="str">
        <f>IF(AND(L131&gt;0,O131&gt;0),(O131-L131)/L131,"")</f>
        <v/>
      </c>
      <c r="Q131" s="9">
        <v>78</v>
      </c>
      <c r="R131" s="9">
        <v>5</v>
      </c>
      <c r="S131" s="19">
        <f>IF(N131&gt;0,TODAY()-N131,"")</f>
        <v>77</v>
      </c>
    </row>
    <row r="132" ht="17" customHeight="1" spans="1:19" x14ac:dyDescent="0.25">
      <c r="A132" s="11" t="s">
        <v>20</v>
      </c>
      <c r="B132" s="11" t="s">
        <v>117</v>
      </c>
      <c r="C132" s="11" t="s">
        <v>286</v>
      </c>
      <c r="D132" s="11" t="s">
        <v>287</v>
      </c>
      <c r="E132" s="12">
        <v>1500</v>
      </c>
      <c r="F132" s="13">
        <v>5.993333333333333</v>
      </c>
      <c r="G132" s="14">
        <v>45684</v>
      </c>
      <c r="H132" s="13">
        <v>5.25</v>
      </c>
      <c r="I132" s="15" t="s">
        <v>60</v>
      </c>
      <c r="J132" s="13">
        <v>6.93</v>
      </c>
      <c r="K132" s="23">
        <f>IF(AND(H132&gt;0,J132&gt;0),(J132-H132)/H132,"")</f>
        <v>0.31999999999999995</v>
      </c>
      <c r="L132" s="13">
        <v>9.83</v>
      </c>
      <c r="M132" s="23">
        <f>IF(AND(J132&gt;0,L132&gt;0),(L132-J132)/J132,IF(AND(H132&gt;0,L132&gt;0),(L132-H132)/H132,""))</f>
        <v>0.4184704184704186</v>
      </c>
      <c r="N132" s="14">
        <v>46034</v>
      </c>
      <c r="O132" s="13">
        <v>9.83</v>
      </c>
      <c r="P132" s="16" t="str">
        <f>IF(AND(L132&gt;0,O132&gt;0),(O132-L132)/L132,"")</f>
        <v/>
      </c>
      <c r="Q132" s="18">
        <v>44</v>
      </c>
      <c r="R132" s="18">
        <v>9</v>
      </c>
      <c r="S132" s="19">
        <f>IF(N132&gt;0,TODAY()-N132,"")</f>
        <v>77</v>
      </c>
    </row>
    <row r="133" ht="17" customHeight="1" spans="1:19" x14ac:dyDescent="0.25">
      <c r="A133" s="3" t="s">
        <v>20</v>
      </c>
      <c r="B133" s="3" t="s">
        <v>117</v>
      </c>
      <c r="C133" s="3" t="s">
        <v>288</v>
      </c>
      <c r="D133" s="3" t="s">
        <v>289</v>
      </c>
      <c r="E133" s="4">
        <v>2000</v>
      </c>
      <c r="F133" s="5">
        <v>5.304</v>
      </c>
      <c r="G133" s="6">
        <v>45789</v>
      </c>
      <c r="H133" s="5">
        <v>5.1</v>
      </c>
      <c r="I133" s="7" t="s">
        <v>60</v>
      </c>
      <c r="J133" s="5">
        <v>6.93</v>
      </c>
      <c r="K133" s="23">
        <f>IF(AND(H133&gt;0,J133&gt;0),(J133-H133)/H133,"")</f>
        <v>0.35882352941176476</v>
      </c>
      <c r="L133" s="5"/>
      <c r="M133" s="8" t="str">
        <f>IF(AND(J133&gt;0,L133&gt;0),(L133-J133)/J133,IF(AND(H133&gt;0,L133&gt;0),(L133-H133)/H133,""))</f>
        <v/>
      </c>
      <c r="N133" s="6">
        <v>45980</v>
      </c>
      <c r="O133" s="5">
        <v>6.93</v>
      </c>
      <c r="P133" s="8" t="str">
        <f>IF(AND(L133&gt;0,O133&gt;0),(O133-L133)/L133,"")</f>
        <v/>
      </c>
      <c r="Q133" s="9">
        <v>96</v>
      </c>
      <c r="R133" s="9">
        <v>3</v>
      </c>
      <c r="S133" s="21">
        <f>IF(N133&gt;0,TODAY()-N133,"")</f>
        <v>131</v>
      </c>
    </row>
    <row r="134" ht="17" customHeight="1" spans="1:19" x14ac:dyDescent="0.25">
      <c r="A134" s="11" t="s">
        <v>20</v>
      </c>
      <c r="B134" s="11" t="s">
        <v>117</v>
      </c>
      <c r="C134" s="11" t="s">
        <v>290</v>
      </c>
      <c r="D134" s="11" t="s">
        <v>291</v>
      </c>
      <c r="E134" s="12">
        <v>600</v>
      </c>
      <c r="F134" s="13">
        <v>6.0216666666666665</v>
      </c>
      <c r="G134" s="14">
        <v>45684</v>
      </c>
      <c r="H134" s="13">
        <v>5.25</v>
      </c>
      <c r="I134" s="15" t="s">
        <v>24</v>
      </c>
      <c r="J134" s="13"/>
      <c r="K134" s="16" t="str">
        <f>IF(AND(H134&gt;0,J134&gt;0),(J134-H134)/H134,"")</f>
        <v/>
      </c>
      <c r="L134" s="13">
        <v>9.83</v>
      </c>
      <c r="M134" s="23">
        <f>IF(AND(J134&gt;0,L134&gt;0),(L134-J134)/J134,IF(AND(H134&gt;0,L134&gt;0),(L134-H134)/H134,""))</f>
        <v>0.8723809523809524</v>
      </c>
      <c r="N134" s="14">
        <v>46034</v>
      </c>
      <c r="O134" s="13">
        <v>9.83</v>
      </c>
      <c r="P134" s="16" t="str">
        <f>IF(AND(L134&gt;0,O134&gt;0),(O134-L134)/L134,"")</f>
        <v/>
      </c>
      <c r="Q134" s="18">
        <v>88</v>
      </c>
      <c r="R134" s="18">
        <v>5</v>
      </c>
      <c r="S134" s="19">
        <f>IF(N134&gt;0,TODAY()-N134,"")</f>
        <v>77</v>
      </c>
    </row>
    <row r="135" ht="17" customHeight="1" spans="1:19" x14ac:dyDescent="0.25">
      <c r="A135" s="3" t="s">
        <v>20</v>
      </c>
      <c r="B135" s="3" t="s">
        <v>117</v>
      </c>
      <c r="C135" s="3" t="s">
        <v>292</v>
      </c>
      <c r="D135" s="3" t="s">
        <v>293</v>
      </c>
      <c r="E135" s="4">
        <v>800</v>
      </c>
      <c r="F135" s="5">
        <v>28.95125</v>
      </c>
      <c r="G135" s="6">
        <v>45721</v>
      </c>
      <c r="H135" s="5">
        <v>27.65</v>
      </c>
      <c r="I135" s="7" t="s">
        <v>60</v>
      </c>
      <c r="J135" s="5">
        <v>36.96</v>
      </c>
      <c r="K135" s="23">
        <f>IF(AND(H135&gt;0,J135&gt;0),(J135-H135)/H135,"")</f>
        <v>0.33670886075949374</v>
      </c>
      <c r="L135" s="5"/>
      <c r="M135" s="8" t="str">
        <f>IF(AND(J135&gt;0,L135&gt;0),(L135-J135)/J135,IF(AND(H135&gt;0,L135&gt;0),(L135-H135)/H135,""))</f>
        <v/>
      </c>
      <c r="N135" s="6">
        <v>45980</v>
      </c>
      <c r="O135" s="5">
        <v>36.96</v>
      </c>
      <c r="P135" s="8" t="str">
        <f>IF(AND(L135&gt;0,O135&gt;0),(O135-L135)/L135,"")</f>
        <v/>
      </c>
      <c r="Q135" s="9">
        <v>52</v>
      </c>
      <c r="R135" s="9">
        <v>6</v>
      </c>
      <c r="S135" s="21">
        <f>IF(N135&gt;0,TODAY()-N135,"")</f>
        <v>131</v>
      </c>
    </row>
    <row r="136" ht="17" customHeight="1" spans="1:19" x14ac:dyDescent="0.25">
      <c r="A136" s="11" t="s">
        <v>20</v>
      </c>
      <c r="B136" s="11" t="s">
        <v>117</v>
      </c>
      <c r="C136" s="11" t="s">
        <v>294</v>
      </c>
      <c r="D136" s="11" t="s">
        <v>295</v>
      </c>
      <c r="E136" s="12">
        <v>700</v>
      </c>
      <c r="F136" s="13">
        <v>28.58</v>
      </c>
      <c r="G136" s="14">
        <v>45733</v>
      </c>
      <c r="H136" s="13">
        <v>25.3</v>
      </c>
      <c r="I136" s="15" t="s">
        <v>60</v>
      </c>
      <c r="J136" s="13">
        <v>36.96</v>
      </c>
      <c r="K136" s="23">
        <f>IF(AND(H136&gt;0,J136&gt;0),(J136-H136)/H136,"")</f>
        <v>0.4608695652173913</v>
      </c>
      <c r="L136" s="13"/>
      <c r="M136" s="16" t="str">
        <f>IF(AND(J136&gt;0,L136&gt;0),(L136-J136)/J136,IF(AND(H136&gt;0,L136&gt;0),(L136-H136)/H136,""))</f>
        <v/>
      </c>
      <c r="N136" s="14">
        <v>45980</v>
      </c>
      <c r="O136" s="13">
        <v>36.96</v>
      </c>
      <c r="P136" s="16" t="str">
        <f>IF(AND(L136&gt;0,O136&gt;0),(O136-L136)/L136,"")</f>
        <v/>
      </c>
      <c r="Q136" s="18">
        <v>62</v>
      </c>
      <c r="R136" s="18">
        <v>5</v>
      </c>
      <c r="S136" s="21">
        <f>IF(N136&gt;0,TODAY()-N136,"")</f>
        <v>131</v>
      </c>
    </row>
    <row r="137" ht="17" customHeight="1" spans="1:19" x14ac:dyDescent="0.25">
      <c r="A137" s="3" t="s">
        <v>20</v>
      </c>
      <c r="B137" s="3" t="s">
        <v>117</v>
      </c>
      <c r="C137" s="3" t="s">
        <v>296</v>
      </c>
      <c r="D137" s="3" t="s">
        <v>297</v>
      </c>
      <c r="E137" s="4">
        <v>200</v>
      </c>
      <c r="F137" s="5">
        <v>25.45</v>
      </c>
      <c r="G137" s="6">
        <v>45854</v>
      </c>
      <c r="H137" s="5">
        <v>14</v>
      </c>
      <c r="I137" s="7" t="s">
        <v>60</v>
      </c>
      <c r="J137" s="5">
        <v>36.9</v>
      </c>
      <c r="K137" s="23">
        <f>IF(AND(H137&gt;0,J137&gt;0),(J137-H137)/H137,"")</f>
        <v>1.6357142857142855</v>
      </c>
      <c r="L137" s="5"/>
      <c r="M137" s="8" t="str">
        <f>IF(AND(J137&gt;0,L137&gt;0),(L137-J137)/J137,IF(AND(H137&gt;0,L137&gt;0),(L137-H137)/H137,""))</f>
        <v/>
      </c>
      <c r="N137" s="6">
        <v>45980</v>
      </c>
      <c r="O137" s="5">
        <v>36.9</v>
      </c>
      <c r="P137" s="8" t="str">
        <f>IF(AND(L137&gt;0,O137&gt;0),(O137-L137)/L137,"")</f>
        <v/>
      </c>
      <c r="Q137" s="9">
        <v>126</v>
      </c>
      <c r="R137" s="9">
        <v>2</v>
      </c>
      <c r="S137" s="21">
        <f>IF(N137&gt;0,TODAY()-N137,"")</f>
        <v>131</v>
      </c>
    </row>
    <row r="138" ht="17" customHeight="1" spans="1:19" x14ac:dyDescent="0.25">
      <c r="A138" s="11" t="s">
        <v>20</v>
      </c>
      <c r="B138" s="11" t="s">
        <v>117</v>
      </c>
      <c r="C138" s="11" t="s">
        <v>298</v>
      </c>
      <c r="D138" s="11" t="s">
        <v>299</v>
      </c>
      <c r="E138" s="12">
        <v>131</v>
      </c>
      <c r="F138" s="13">
        <v>863.4534351145038</v>
      </c>
      <c r="G138" s="14">
        <v>45684</v>
      </c>
      <c r="H138" s="13">
        <v>452</v>
      </c>
      <c r="I138" s="15" t="s">
        <v>57</v>
      </c>
      <c r="J138" s="13">
        <v>913.5</v>
      </c>
      <c r="K138" s="23">
        <f>IF(AND(H138&gt;0,J138&gt;0),(J138-H138)/H138,"")</f>
        <v>1.0210176991150441</v>
      </c>
      <c r="L138" s="13">
        <v>939.6</v>
      </c>
      <c r="M138" s="17">
        <f>IF(AND(J138&gt;0,L138&gt;0),(L138-J138)/J138,IF(AND(H138&gt;0,L138&gt;0),(L138-H138)/H138,""))</f>
        <v>0.028571428571428595</v>
      </c>
      <c r="N138" s="14">
        <v>46105</v>
      </c>
      <c r="O138" s="13">
        <v>1094.4</v>
      </c>
      <c r="P138" s="20">
        <f>IF(AND(L138&gt;0,O138&gt;0),(O138-L138)/L138,"")</f>
        <v>0.1647509578544062</v>
      </c>
      <c r="Q138" s="18">
        <v>26</v>
      </c>
      <c r="R138" s="18">
        <v>17</v>
      </c>
      <c r="S138" s="18">
        <f>IF(N138&gt;0,TODAY()-N138,"")</f>
        <v>6</v>
      </c>
    </row>
    <row r="139" ht="17" customHeight="1" spans="1:19" x14ac:dyDescent="0.25">
      <c r="A139" s="3" t="s">
        <v>20</v>
      </c>
      <c r="B139" s="3" t="s">
        <v>117</v>
      </c>
      <c r="C139" s="3" t="s">
        <v>300</v>
      </c>
      <c r="D139" s="3" t="s">
        <v>301</v>
      </c>
      <c r="E139" s="4">
        <v>6</v>
      </c>
      <c r="F139" s="5">
        <v>619.5</v>
      </c>
      <c r="G139" s="6">
        <v>45758</v>
      </c>
      <c r="H139" s="5">
        <v>619.5</v>
      </c>
      <c r="I139" s="7" t="s">
        <v>24</v>
      </c>
      <c r="J139" s="5"/>
      <c r="K139" s="8" t="str">
        <f>IF(AND(H139&gt;0,J139&gt;0),(J139-H139)/H139,"")</f>
        <v/>
      </c>
      <c r="L139" s="5"/>
      <c r="M139" s="8" t="str">
        <f>IF(AND(J139&gt;0,L139&gt;0),(L139-J139)/J139,IF(AND(H139&gt;0,L139&gt;0),(L139-H139)/H139,""))</f>
        <v/>
      </c>
      <c r="N139" s="6">
        <v>45758</v>
      </c>
      <c r="O139" s="5">
        <v>619.5</v>
      </c>
      <c r="P139" s="8" t="str">
        <f>IF(AND(L139&gt;0,O139&gt;0),(O139-L139)/L139,"")</f>
        <v/>
      </c>
      <c r="Q139" s="9"/>
      <c r="R139" s="9">
        <v>1</v>
      </c>
      <c r="S139" s="10">
        <f>IF(N139&gt;0,TODAY()-N139,"")</f>
        <v>353</v>
      </c>
    </row>
    <row r="140" ht="17" customHeight="1" spans="1:19" x14ac:dyDescent="0.25">
      <c r="A140" s="11" t="s">
        <v>20</v>
      </c>
      <c r="B140" s="11" t="s">
        <v>117</v>
      </c>
      <c r="C140" s="11" t="s">
        <v>302</v>
      </c>
      <c r="D140" s="11" t="s">
        <v>303</v>
      </c>
      <c r="E140" s="12">
        <v>1</v>
      </c>
      <c r="F140" s="13">
        <v>2860</v>
      </c>
      <c r="G140" s="14">
        <v>46051</v>
      </c>
      <c r="H140" s="13">
        <v>2860</v>
      </c>
      <c r="I140" s="15" t="s">
        <v>24</v>
      </c>
      <c r="J140" s="13"/>
      <c r="K140" s="16" t="str">
        <f>IF(AND(H140&gt;0,J140&gt;0),(J140-H140)/H140,"")</f>
        <v/>
      </c>
      <c r="L140" s="13">
        <v>2860</v>
      </c>
      <c r="M140" s="17">
        <f>IF(AND(J140&gt;0,L140&gt;0),(L140-J140)/J140,IF(AND(H140&gt;0,L140&gt;0),(L140-H140)/H140,""))</f>
        <v>0</v>
      </c>
      <c r="N140" s="14">
        <v>46051</v>
      </c>
      <c r="O140" s="13">
        <v>2860</v>
      </c>
      <c r="P140" s="16" t="str">
        <f>IF(AND(L140&gt;0,O140&gt;0),(O140-L140)/L140,"")</f>
        <v/>
      </c>
      <c r="Q140" s="18"/>
      <c r="R140" s="18">
        <v>1</v>
      </c>
      <c r="S140" s="18">
        <f>IF(N140&gt;0,TODAY()-N140,"")</f>
        <v>60</v>
      </c>
    </row>
    <row r="141" ht="17" customHeight="1" spans="1:19" x14ac:dyDescent="0.25">
      <c r="A141" s="3" t="s">
        <v>20</v>
      </c>
      <c r="B141" s="3" t="s">
        <v>117</v>
      </c>
      <c r="C141" s="3" t="s">
        <v>304</v>
      </c>
      <c r="D141" s="3" t="s">
        <v>305</v>
      </c>
      <c r="E141" s="4">
        <v>94</v>
      </c>
      <c r="F141" s="5">
        <v>840.7762765957447</v>
      </c>
      <c r="G141" s="6">
        <v>45692</v>
      </c>
      <c r="H141" s="5">
        <v>762.28</v>
      </c>
      <c r="I141" s="7" t="s">
        <v>57</v>
      </c>
      <c r="J141" s="5">
        <v>1082.08</v>
      </c>
      <c r="K141" s="23">
        <f>IF(AND(H141&gt;0,J141&gt;0),(J141-H141)/H141,"")</f>
        <v>0.4195308810410872</v>
      </c>
      <c r="L141" s="5"/>
      <c r="M141" s="8" t="str">
        <f>IF(AND(J141&gt;0,L141&gt;0),(L141-J141)/J141,IF(AND(H141&gt;0,L141&gt;0),(L141-H141)/H141,""))</f>
        <v/>
      </c>
      <c r="N141" s="6">
        <v>45947</v>
      </c>
      <c r="O141" s="5">
        <v>1082.08</v>
      </c>
      <c r="P141" s="8" t="str">
        <f>IF(AND(L141&gt;0,O141&gt;0),(O141-L141)/L141,"")</f>
        <v/>
      </c>
      <c r="Q141" s="9">
        <v>28</v>
      </c>
      <c r="R141" s="9">
        <v>10</v>
      </c>
      <c r="S141" s="21">
        <f>IF(N141&gt;0,TODAY()-N141,"")</f>
        <v>164</v>
      </c>
    </row>
    <row r="142" ht="17" customHeight="1" spans="1:19" x14ac:dyDescent="0.25">
      <c r="A142" s="11" t="s">
        <v>20</v>
      </c>
      <c r="B142" s="11" t="s">
        <v>117</v>
      </c>
      <c r="C142" s="11" t="s">
        <v>306</v>
      </c>
      <c r="D142" s="11" t="s">
        <v>307</v>
      </c>
      <c r="E142" s="12">
        <v>46</v>
      </c>
      <c r="F142" s="13">
        <v>687.8095652173913</v>
      </c>
      <c r="G142" s="14">
        <v>45987</v>
      </c>
      <c r="H142" s="13">
        <v>564.38</v>
      </c>
      <c r="I142" s="15" t="s">
        <v>54</v>
      </c>
      <c r="J142" s="13">
        <v>564.38</v>
      </c>
      <c r="K142" s="17">
        <f>IF(AND(H142&gt;0,J142&gt;0),(J142-H142)/H142,"")</f>
        <v>0</v>
      </c>
      <c r="L142" s="13"/>
      <c r="M142" s="16" t="str">
        <f>IF(AND(J142&gt;0,L142&gt;0),(L142-J142)/J142,IF(AND(H142&gt;0,L142&gt;0),(L142-H142)/H142,""))</f>
        <v/>
      </c>
      <c r="N142" s="14">
        <v>46087</v>
      </c>
      <c r="O142" s="13">
        <v>776.15</v>
      </c>
      <c r="P142" s="23">
        <f>IF(AND(L142&gt;0,O142&gt;0),(O142-L142)/L142,"")</f>
        <v>0.3752259116198306</v>
      </c>
      <c r="Q142" s="18">
        <v>33</v>
      </c>
      <c r="R142" s="18">
        <v>4</v>
      </c>
      <c r="S142" s="18">
        <f>IF(N142&gt;0,TODAY()-N142,"")</f>
        <v>24</v>
      </c>
    </row>
    <row r="143" ht="17" customHeight="1" spans="1:19" x14ac:dyDescent="0.25">
      <c r="A143" s="3" t="s">
        <v>20</v>
      </c>
      <c r="B143" s="3" t="s">
        <v>117</v>
      </c>
      <c r="C143" s="3" t="s">
        <v>308</v>
      </c>
      <c r="D143" s="3" t="s">
        <v>309</v>
      </c>
      <c r="E143" s="4">
        <v>1</v>
      </c>
      <c r="F143" s="5">
        <v>6931</v>
      </c>
      <c r="G143" s="6">
        <v>45883</v>
      </c>
      <c r="H143" s="5">
        <v>6931</v>
      </c>
      <c r="I143" s="7" t="s">
        <v>24</v>
      </c>
      <c r="J143" s="5"/>
      <c r="K143" s="8" t="str">
        <f>IF(AND(H143&gt;0,J143&gt;0),(J143-H143)/H143,"")</f>
        <v/>
      </c>
      <c r="L143" s="5"/>
      <c r="M143" s="8" t="str">
        <f>IF(AND(J143&gt;0,L143&gt;0),(L143-J143)/J143,IF(AND(H143&gt;0,L143&gt;0),(L143-H143)/H143,""))</f>
        <v/>
      </c>
      <c r="N143" s="6">
        <v>45883</v>
      </c>
      <c r="O143" s="5">
        <v>6931</v>
      </c>
      <c r="P143" s="8" t="str">
        <f>IF(AND(L143&gt;0,O143&gt;0),(O143-L143)/L143,"")</f>
        <v/>
      </c>
      <c r="Q143" s="9"/>
      <c r="R143" s="9">
        <v>1</v>
      </c>
      <c r="S143" s="10">
        <f>IF(N143&gt;0,TODAY()-N143,"")</f>
        <v>228</v>
      </c>
    </row>
    <row r="144" ht="17" customHeight="1" spans="1:19" x14ac:dyDescent="0.25">
      <c r="A144" s="11" t="s">
        <v>20</v>
      </c>
      <c r="B144" s="11" t="s">
        <v>117</v>
      </c>
      <c r="C144" s="11" t="s">
        <v>310</v>
      </c>
      <c r="D144" s="11" t="s">
        <v>311</v>
      </c>
      <c r="E144" s="12">
        <v>1</v>
      </c>
      <c r="F144" s="13">
        <v>69046.07</v>
      </c>
      <c r="G144" s="14">
        <v>45695</v>
      </c>
      <c r="H144" s="13">
        <v>69046.07</v>
      </c>
      <c r="I144" s="15" t="s">
        <v>24</v>
      </c>
      <c r="J144" s="13"/>
      <c r="K144" s="16" t="str">
        <f>IF(AND(H144&gt;0,J144&gt;0),(J144-H144)/H144,"")</f>
        <v/>
      </c>
      <c r="L144" s="13"/>
      <c r="M144" s="16" t="str">
        <f>IF(AND(J144&gt;0,L144&gt;0),(L144-J144)/J144,IF(AND(H144&gt;0,L144&gt;0),(L144-H144)/H144,""))</f>
        <v/>
      </c>
      <c r="N144" s="14">
        <v>45695</v>
      </c>
      <c r="O144" s="13">
        <v>69046.07</v>
      </c>
      <c r="P144" s="16" t="str">
        <f>IF(AND(L144&gt;0,O144&gt;0),(O144-L144)/L144,"")</f>
        <v/>
      </c>
      <c r="Q144" s="18"/>
      <c r="R144" s="18">
        <v>1</v>
      </c>
      <c r="S144" s="10">
        <f>IF(N144&gt;0,TODAY()-N144,"")</f>
        <v>416</v>
      </c>
    </row>
    <row r="145" ht="17" customHeight="1" spans="1:19" x14ac:dyDescent="0.25">
      <c r="A145" s="3" t="s">
        <v>20</v>
      </c>
      <c r="B145" s="3" t="s">
        <v>117</v>
      </c>
      <c r="C145" s="3" t="s">
        <v>312</v>
      </c>
      <c r="D145" s="3" t="s">
        <v>313</v>
      </c>
      <c r="E145" s="4">
        <v>5</v>
      </c>
      <c r="F145" s="5">
        <v>58.508</v>
      </c>
      <c r="G145" s="6">
        <v>45742</v>
      </c>
      <c r="H145" s="5">
        <v>58.51</v>
      </c>
      <c r="I145" s="7" t="s">
        <v>24</v>
      </c>
      <c r="J145" s="5"/>
      <c r="K145" s="8" t="str">
        <f>IF(AND(H145&gt;0,J145&gt;0),(J145-H145)/H145,"")</f>
        <v/>
      </c>
      <c r="L145" s="5"/>
      <c r="M145" s="8" t="str">
        <f>IF(AND(J145&gt;0,L145&gt;0),(L145-J145)/J145,IF(AND(H145&gt;0,L145&gt;0),(L145-H145)/H145,""))</f>
        <v/>
      </c>
      <c r="N145" s="6">
        <v>45742</v>
      </c>
      <c r="O145" s="5">
        <v>58.51</v>
      </c>
      <c r="P145" s="8" t="str">
        <f>IF(AND(L145&gt;0,O145&gt;0),(O145-L145)/L145,"")</f>
        <v/>
      </c>
      <c r="Q145" s="9"/>
      <c r="R145" s="9">
        <v>1</v>
      </c>
      <c r="S145" s="10">
        <f>IF(N145&gt;0,TODAY()-N145,"")</f>
        <v>369</v>
      </c>
    </row>
    <row r="146" ht="17" customHeight="1" spans="1:19" x14ac:dyDescent="0.25">
      <c r="A146" s="11" t="s">
        <v>20</v>
      </c>
      <c r="B146" s="11" t="s">
        <v>117</v>
      </c>
      <c r="C146" s="11" t="s">
        <v>314</v>
      </c>
      <c r="D146" s="11" t="s">
        <v>315</v>
      </c>
      <c r="E146" s="12">
        <v>5</v>
      </c>
      <c r="F146" s="13">
        <v>62.160000000000004</v>
      </c>
      <c r="G146" s="14">
        <v>45742</v>
      </c>
      <c r="H146" s="13">
        <v>62.16</v>
      </c>
      <c r="I146" s="15" t="s">
        <v>24</v>
      </c>
      <c r="J146" s="13"/>
      <c r="K146" s="16" t="str">
        <f>IF(AND(H146&gt;0,J146&gt;0),(J146-H146)/H146,"")</f>
        <v/>
      </c>
      <c r="L146" s="13"/>
      <c r="M146" s="16" t="str">
        <f>IF(AND(J146&gt;0,L146&gt;0),(L146-J146)/J146,IF(AND(H146&gt;0,L146&gt;0),(L146-H146)/H146,""))</f>
        <v/>
      </c>
      <c r="N146" s="14">
        <v>45742</v>
      </c>
      <c r="O146" s="13">
        <v>62.16</v>
      </c>
      <c r="P146" s="16" t="str">
        <f>IF(AND(L146&gt;0,O146&gt;0),(O146-L146)/L146,"")</f>
        <v/>
      </c>
      <c r="Q146" s="18"/>
      <c r="R146" s="18">
        <v>1</v>
      </c>
      <c r="S146" s="10">
        <f>IF(N146&gt;0,TODAY()-N146,"")</f>
        <v>369</v>
      </c>
    </row>
    <row r="147" ht="17" customHeight="1" spans="1:19" x14ac:dyDescent="0.25">
      <c r="A147" s="3" t="s">
        <v>20</v>
      </c>
      <c r="B147" s="3" t="s">
        <v>117</v>
      </c>
      <c r="C147" s="3" t="s">
        <v>316</v>
      </c>
      <c r="D147" s="3" t="s">
        <v>317</v>
      </c>
      <c r="E147" s="4">
        <v>152</v>
      </c>
      <c r="F147" s="5">
        <v>48.31980214473683</v>
      </c>
      <c r="G147" s="6">
        <v>45671</v>
      </c>
      <c r="H147" s="5">
        <v>50.05</v>
      </c>
      <c r="I147" s="7" t="s">
        <v>54</v>
      </c>
      <c r="J147" s="5">
        <v>31.77</v>
      </c>
      <c r="K147" s="26">
        <f>IF(AND(H147&gt;0,J147&gt;0),(J147-H147)/H147,"")</f>
        <v>-0.3652347652347652</v>
      </c>
      <c r="L147" s="5">
        <v>31.53</v>
      </c>
      <c r="M147" s="26">
        <f>IF(AND(J147&gt;0,L147&gt;0),(L147-J147)/J147,IF(AND(H147&gt;0,L147&gt;0),(L147-H147)/H147,""))</f>
        <v>-0.007554296506137817</v>
      </c>
      <c r="N147" s="6">
        <v>46105</v>
      </c>
      <c r="O147" s="5">
        <v>1.42</v>
      </c>
      <c r="P147" s="26">
        <f>IF(AND(L147&gt;0,O147&gt;0),(O147-L147)/L147,"")</f>
        <v>-0.9549635267998731</v>
      </c>
      <c r="Q147" s="9">
        <v>43</v>
      </c>
      <c r="R147" s="9">
        <v>11</v>
      </c>
      <c r="S147" s="9">
        <f>IF(N147&gt;0,TODAY()-N147,"")</f>
        <v>6</v>
      </c>
    </row>
    <row r="148" ht="17" customHeight="1" spans="1:19" x14ac:dyDescent="0.25">
      <c r="A148" s="11" t="s">
        <v>20</v>
      </c>
      <c r="B148" s="11" t="s">
        <v>117</v>
      </c>
      <c r="C148" s="11" t="s">
        <v>318</v>
      </c>
      <c r="D148" s="11" t="s">
        <v>319</v>
      </c>
      <c r="E148" s="12">
        <v>4</v>
      </c>
      <c r="F148" s="13">
        <v>2918.2799999999997</v>
      </c>
      <c r="G148" s="14">
        <v>45733</v>
      </c>
      <c r="H148" s="13">
        <v>1923.12</v>
      </c>
      <c r="I148" s="15" t="s">
        <v>24</v>
      </c>
      <c r="J148" s="13"/>
      <c r="K148" s="16" t="str">
        <f>IF(AND(H148&gt;0,J148&gt;0),(J148-H148)/H148,"")</f>
        <v/>
      </c>
      <c r="L148" s="13"/>
      <c r="M148" s="16" t="str">
        <f>IF(AND(J148&gt;0,L148&gt;0),(L148-J148)/J148,IF(AND(H148&gt;0,L148&gt;0),(L148-H148)/H148,""))</f>
        <v/>
      </c>
      <c r="N148" s="14">
        <v>45869</v>
      </c>
      <c r="O148" s="13">
        <v>3250</v>
      </c>
      <c r="P148" s="16" t="str">
        <f>IF(AND(L148&gt;0,O148&gt;0),(O148-L148)/L148,"")</f>
        <v/>
      </c>
      <c r="Q148" s="18">
        <v>68</v>
      </c>
      <c r="R148" s="18">
        <v>3</v>
      </c>
      <c r="S148" s="10">
        <f>IF(N148&gt;0,TODAY()-N148,"")</f>
        <v>242</v>
      </c>
    </row>
    <row r="149" ht="17" customHeight="1" spans="1:19" x14ac:dyDescent="0.25">
      <c r="A149" s="3" t="s">
        <v>20</v>
      </c>
      <c r="B149" s="3" t="s">
        <v>117</v>
      </c>
      <c r="C149" s="3" t="s">
        <v>320</v>
      </c>
      <c r="D149" s="3" t="s">
        <v>321</v>
      </c>
      <c r="E149" s="4">
        <v>480</v>
      </c>
      <c r="F149" s="5">
        <v>39.958333333333336</v>
      </c>
      <c r="G149" s="6">
        <v>45684</v>
      </c>
      <c r="H149" s="5">
        <v>36</v>
      </c>
      <c r="I149" s="7" t="s">
        <v>24</v>
      </c>
      <c r="J149" s="5"/>
      <c r="K149" s="8" t="str">
        <f>IF(AND(H149&gt;0,J149&gt;0),(J149-H149)/H149,"")</f>
        <v/>
      </c>
      <c r="L149" s="5">
        <v>44</v>
      </c>
      <c r="M149" s="22">
        <f>IF(AND(J149&gt;0,L149&gt;0),(L149-J149)/J149,IF(AND(H149&gt;0,L149&gt;0),(L149-H149)/H149,""))</f>
        <v>0.2222222222222222</v>
      </c>
      <c r="N149" s="6">
        <v>46066</v>
      </c>
      <c r="O149" s="5">
        <v>44</v>
      </c>
      <c r="P149" s="24">
        <f>IF(AND(L149&gt;0,O149&gt;0),(O149-L149)/L149,"")</f>
        <v>0</v>
      </c>
      <c r="Q149" s="9">
        <v>64</v>
      </c>
      <c r="R149" s="9">
        <v>7</v>
      </c>
      <c r="S149" s="9">
        <f>IF(N149&gt;0,TODAY()-N149,"")</f>
        <v>45</v>
      </c>
    </row>
    <row r="150" ht="17" customHeight="1" spans="1:19" x14ac:dyDescent="0.25">
      <c r="A150" s="11" t="s">
        <v>20</v>
      </c>
      <c r="B150" s="11" t="s">
        <v>117</v>
      </c>
      <c r="C150" s="11" t="s">
        <v>322</v>
      </c>
      <c r="D150" s="11" t="s">
        <v>323</v>
      </c>
      <c r="E150" s="12">
        <v>10</v>
      </c>
      <c r="F150" s="13">
        <v>200</v>
      </c>
      <c r="G150" s="14">
        <v>45687</v>
      </c>
      <c r="H150" s="13">
        <v>200</v>
      </c>
      <c r="I150" s="15" t="s">
        <v>24</v>
      </c>
      <c r="J150" s="13"/>
      <c r="K150" s="16" t="str">
        <f>IF(AND(H150&gt;0,J150&gt;0),(J150-H150)/H150,"")</f>
        <v/>
      </c>
      <c r="L150" s="13"/>
      <c r="M150" s="16" t="str">
        <f>IF(AND(J150&gt;0,L150&gt;0),(L150-J150)/J150,IF(AND(H150&gt;0,L150&gt;0),(L150-H150)/H150,""))</f>
        <v/>
      </c>
      <c r="N150" s="14">
        <v>45687</v>
      </c>
      <c r="O150" s="13">
        <v>200</v>
      </c>
      <c r="P150" s="16" t="str">
        <f>IF(AND(L150&gt;0,O150&gt;0),(O150-L150)/L150,"")</f>
        <v/>
      </c>
      <c r="Q150" s="18"/>
      <c r="R150" s="18">
        <v>1</v>
      </c>
      <c r="S150" s="10">
        <f>IF(N150&gt;0,TODAY()-N150,"")</f>
        <v>424</v>
      </c>
    </row>
    <row r="151" ht="17" customHeight="1" spans="1:19" x14ac:dyDescent="0.25">
      <c r="A151" s="3" t="s">
        <v>20</v>
      </c>
      <c r="B151" s="3" t="s">
        <v>117</v>
      </c>
      <c r="C151" s="3" t="s">
        <v>324</v>
      </c>
      <c r="D151" s="3" t="s">
        <v>325</v>
      </c>
      <c r="E151" s="4">
        <v>55</v>
      </c>
      <c r="F151" s="5">
        <v>12.15</v>
      </c>
      <c r="G151" s="6">
        <v>45684</v>
      </c>
      <c r="H151" s="5">
        <v>12.15</v>
      </c>
      <c r="I151" s="7" t="s">
        <v>24</v>
      </c>
      <c r="J151" s="5"/>
      <c r="K151" s="8" t="str">
        <f>IF(AND(H151&gt;0,J151&gt;0),(J151-H151)/H151,"")</f>
        <v/>
      </c>
      <c r="L151" s="5"/>
      <c r="M151" s="8" t="str">
        <f>IF(AND(J151&gt;0,L151&gt;0),(L151-J151)/J151,IF(AND(H151&gt;0,L151&gt;0),(L151-H151)/H151,""))</f>
        <v/>
      </c>
      <c r="N151" s="6">
        <v>45684</v>
      </c>
      <c r="O151" s="5">
        <v>12.15</v>
      </c>
      <c r="P151" s="8" t="str">
        <f>IF(AND(L151&gt;0,O151&gt;0),(O151-L151)/L151,"")</f>
        <v/>
      </c>
      <c r="Q151" s="9">
        <v>0</v>
      </c>
      <c r="R151" s="9">
        <v>2</v>
      </c>
      <c r="S151" s="10">
        <f>IF(N151&gt;0,TODAY()-N151,"")</f>
        <v>427</v>
      </c>
    </row>
    <row r="152" ht="17" customHeight="1" spans="1:19" x14ac:dyDescent="0.25">
      <c r="A152" s="11" t="s">
        <v>20</v>
      </c>
      <c r="B152" s="11" t="s">
        <v>117</v>
      </c>
      <c r="C152" s="11" t="s">
        <v>326</v>
      </c>
      <c r="D152" s="11" t="s">
        <v>327</v>
      </c>
      <c r="E152" s="12">
        <v>413</v>
      </c>
      <c r="F152" s="13">
        <v>1274.1888619854722</v>
      </c>
      <c r="G152" s="14">
        <v>45692</v>
      </c>
      <c r="H152" s="13">
        <v>980</v>
      </c>
      <c r="I152" s="15" t="s">
        <v>57</v>
      </c>
      <c r="J152" s="13">
        <v>1300</v>
      </c>
      <c r="K152" s="23">
        <f>IF(AND(H152&gt;0,J152&gt;0),(J152-H152)/H152,"")</f>
        <v>0.326530612244898</v>
      </c>
      <c r="L152" s="13">
        <v>1350</v>
      </c>
      <c r="M152" s="17">
        <f>IF(AND(J152&gt;0,L152&gt;0),(L152-J152)/J152,IF(AND(H152&gt;0,L152&gt;0),(L152-H152)/H152,""))</f>
        <v>0.038461538461538464</v>
      </c>
      <c r="N152" s="14">
        <v>46107</v>
      </c>
      <c r="O152" s="13">
        <v>1750</v>
      </c>
      <c r="P152" s="23">
        <f>IF(AND(L152&gt;0,O152&gt;0),(O152-L152)/L152,"")</f>
        <v>0.2962962962962963</v>
      </c>
      <c r="Q152" s="18">
        <v>38</v>
      </c>
      <c r="R152" s="18">
        <v>12</v>
      </c>
      <c r="S152" s="18">
        <f>IF(N152&gt;0,TODAY()-N152,"")</f>
        <v>4</v>
      </c>
    </row>
    <row r="153" ht="17" customHeight="1" spans="1:19" x14ac:dyDescent="0.25">
      <c r="A153" s="3" t="s">
        <v>20</v>
      </c>
      <c r="B153" s="3" t="s">
        <v>117</v>
      </c>
      <c r="C153" s="3" t="s">
        <v>328</v>
      </c>
      <c r="D153" s="3" t="s">
        <v>329</v>
      </c>
      <c r="E153" s="4">
        <v>2</v>
      </c>
      <c r="F153" s="5">
        <v>2321.3950000000004</v>
      </c>
      <c r="G153" s="6">
        <v>45924</v>
      </c>
      <c r="H153" s="5">
        <v>2384.76</v>
      </c>
      <c r="I153" s="7" t="s">
        <v>57</v>
      </c>
      <c r="J153" s="5">
        <v>2258.03</v>
      </c>
      <c r="K153" s="26">
        <f>IF(AND(H153&gt;0,J153&gt;0),(J153-H153)/H153,"")</f>
        <v>-0.05314161592780825</v>
      </c>
      <c r="L153" s="5"/>
      <c r="M153" s="8" t="str">
        <f>IF(AND(J153&gt;0,L153&gt;0),(L153-J153)/J153,IF(AND(H153&gt;0,L153&gt;0),(L153-H153)/H153,""))</f>
        <v/>
      </c>
      <c r="N153" s="6">
        <v>45952</v>
      </c>
      <c r="O153" s="5">
        <v>2258.03</v>
      </c>
      <c r="P153" s="8" t="str">
        <f>IF(AND(L153&gt;0,O153&gt;0),(O153-L153)/L153,"")</f>
        <v/>
      </c>
      <c r="Q153" s="9">
        <v>28</v>
      </c>
      <c r="R153" s="9">
        <v>2</v>
      </c>
      <c r="S153" s="21">
        <f>IF(N153&gt;0,TODAY()-N153,"")</f>
        <v>159</v>
      </c>
    </row>
    <row r="154" ht="17" customHeight="1" spans="1:19" x14ac:dyDescent="0.25">
      <c r="A154" s="11" t="s">
        <v>20</v>
      </c>
      <c r="B154" s="11" t="s">
        <v>117</v>
      </c>
      <c r="C154" s="11" t="s">
        <v>330</v>
      </c>
      <c r="D154" s="11" t="s">
        <v>331</v>
      </c>
      <c r="E154" s="12">
        <v>100</v>
      </c>
      <c r="F154" s="13">
        <v>7.95</v>
      </c>
      <c r="G154" s="14">
        <v>45834</v>
      </c>
      <c r="H154" s="13">
        <v>7.95</v>
      </c>
      <c r="I154" s="15" t="s">
        <v>24</v>
      </c>
      <c r="J154" s="13"/>
      <c r="K154" s="16" t="str">
        <f>IF(AND(H154&gt;0,J154&gt;0),(J154-H154)/H154,"")</f>
        <v/>
      </c>
      <c r="L154" s="13"/>
      <c r="M154" s="16" t="str">
        <f>IF(AND(J154&gt;0,L154&gt;0),(L154-J154)/J154,IF(AND(H154&gt;0,L154&gt;0),(L154-H154)/H154,""))</f>
        <v/>
      </c>
      <c r="N154" s="14">
        <v>45834</v>
      </c>
      <c r="O154" s="13">
        <v>7.95</v>
      </c>
      <c r="P154" s="16" t="str">
        <f>IF(AND(L154&gt;0,O154&gt;0),(O154-L154)/L154,"")</f>
        <v/>
      </c>
      <c r="Q154" s="18"/>
      <c r="R154" s="18">
        <v>1</v>
      </c>
      <c r="S154" s="10">
        <f>IF(N154&gt;0,TODAY()-N154,"")</f>
        <v>277</v>
      </c>
    </row>
    <row r="155" ht="17" customHeight="1" spans="1:19" x14ac:dyDescent="0.25">
      <c r="A155" s="3" t="s">
        <v>20</v>
      </c>
      <c r="B155" s="3" t="s">
        <v>117</v>
      </c>
      <c r="C155" s="3" t="s">
        <v>332</v>
      </c>
      <c r="D155" s="3" t="s">
        <v>333</v>
      </c>
      <c r="E155" s="4">
        <v>400</v>
      </c>
      <c r="F155" s="5">
        <v>5.4487</v>
      </c>
      <c r="G155" s="6">
        <v>45721</v>
      </c>
      <c r="H155" s="5">
        <v>7.28</v>
      </c>
      <c r="I155" s="7" t="s">
        <v>24</v>
      </c>
      <c r="J155" s="5"/>
      <c r="K155" s="8" t="str">
        <f>IF(AND(H155&gt;0,J155&gt;0),(J155-H155)/H155,"")</f>
        <v/>
      </c>
      <c r="L155" s="5">
        <v>3.62</v>
      </c>
      <c r="M155" s="26">
        <f>IF(AND(J155&gt;0,L155&gt;0),(L155-J155)/J155,IF(AND(H155&gt;0,L155&gt;0),(L155-H155)/H155,""))</f>
        <v>-0.5027472527472527</v>
      </c>
      <c r="N155" s="6">
        <v>46034</v>
      </c>
      <c r="O155" s="5">
        <v>3.62</v>
      </c>
      <c r="P155" s="8" t="str">
        <f>IF(AND(L155&gt;0,O155&gt;0),(O155-L155)/L155,"")</f>
        <v/>
      </c>
      <c r="Q155" s="9">
        <v>313</v>
      </c>
      <c r="R155" s="9">
        <v>2</v>
      </c>
      <c r="S155" s="19">
        <f>IF(N155&gt;0,TODAY()-N155,"")</f>
        <v>77</v>
      </c>
    </row>
    <row r="156" ht="17" customHeight="1" spans="1:19" x14ac:dyDescent="0.25">
      <c r="A156" s="11" t="s">
        <v>20</v>
      </c>
      <c r="B156" s="11" t="s">
        <v>117</v>
      </c>
      <c r="C156" s="11" t="s">
        <v>334</v>
      </c>
      <c r="D156" s="11" t="s">
        <v>335</v>
      </c>
      <c r="E156" s="12">
        <v>400</v>
      </c>
      <c r="F156" s="13">
        <v>4.35695</v>
      </c>
      <c r="G156" s="14">
        <v>45721</v>
      </c>
      <c r="H156" s="13">
        <v>5.82</v>
      </c>
      <c r="I156" s="15" t="s">
        <v>24</v>
      </c>
      <c r="J156" s="13"/>
      <c r="K156" s="16" t="str">
        <f>IF(AND(H156&gt;0,J156&gt;0),(J156-H156)/H156,"")</f>
        <v/>
      </c>
      <c r="L156" s="13">
        <v>2.89</v>
      </c>
      <c r="M156" s="25">
        <f>IF(AND(J156&gt;0,L156&gt;0),(L156-J156)/J156,IF(AND(H156&gt;0,L156&gt;0),(L156-H156)/H156,""))</f>
        <v>-0.5034364261168385</v>
      </c>
      <c r="N156" s="14">
        <v>46034</v>
      </c>
      <c r="O156" s="13">
        <v>2.89</v>
      </c>
      <c r="P156" s="16" t="str">
        <f>IF(AND(L156&gt;0,O156&gt;0),(O156-L156)/L156,"")</f>
        <v/>
      </c>
      <c r="Q156" s="18">
        <v>313</v>
      </c>
      <c r="R156" s="18">
        <v>2</v>
      </c>
      <c r="S156" s="19">
        <f>IF(N156&gt;0,TODAY()-N156,"")</f>
        <v>77</v>
      </c>
    </row>
    <row r="157" ht="17" customHeight="1" spans="1:19" x14ac:dyDescent="0.25">
      <c r="A157" s="3" t="s">
        <v>20</v>
      </c>
      <c r="B157" s="3" t="s">
        <v>117</v>
      </c>
      <c r="C157" s="3" t="s">
        <v>336</v>
      </c>
      <c r="D157" s="3" t="s">
        <v>337</v>
      </c>
      <c r="E157" s="4">
        <v>200</v>
      </c>
      <c r="F157" s="5">
        <v>6.76</v>
      </c>
      <c r="G157" s="6">
        <v>45834</v>
      </c>
      <c r="H157" s="5">
        <v>6.76</v>
      </c>
      <c r="I157" s="7" t="s">
        <v>24</v>
      </c>
      <c r="J157" s="5"/>
      <c r="K157" s="8" t="str">
        <f>IF(AND(H157&gt;0,J157&gt;0),(J157-H157)/H157,"")</f>
        <v/>
      </c>
      <c r="L157" s="5"/>
      <c r="M157" s="8" t="str">
        <f>IF(AND(J157&gt;0,L157&gt;0),(L157-J157)/J157,IF(AND(H157&gt;0,L157&gt;0),(L157-H157)/H157,""))</f>
        <v/>
      </c>
      <c r="N157" s="6">
        <v>45834</v>
      </c>
      <c r="O157" s="5">
        <v>6.76</v>
      </c>
      <c r="P157" s="8" t="str">
        <f>IF(AND(L157&gt;0,O157&gt;0),(O157-L157)/L157,"")</f>
        <v/>
      </c>
      <c r="Q157" s="9"/>
      <c r="R157" s="9">
        <v>1</v>
      </c>
      <c r="S157" s="10">
        <f>IF(N157&gt;0,TODAY()-N157,"")</f>
        <v>277</v>
      </c>
    </row>
    <row r="158" ht="17" customHeight="1" spans="1:19" x14ac:dyDescent="0.25">
      <c r="A158" s="11" t="s">
        <v>20</v>
      </c>
      <c r="B158" s="11" t="s">
        <v>117</v>
      </c>
      <c r="C158" s="11" t="s">
        <v>338</v>
      </c>
      <c r="D158" s="11" t="s">
        <v>339</v>
      </c>
      <c r="E158" s="12">
        <v>200</v>
      </c>
      <c r="F158" s="13">
        <v>6.76</v>
      </c>
      <c r="G158" s="14">
        <v>45834</v>
      </c>
      <c r="H158" s="13">
        <v>6.76</v>
      </c>
      <c r="I158" s="15" t="s">
        <v>24</v>
      </c>
      <c r="J158" s="13"/>
      <c r="K158" s="16" t="str">
        <f>IF(AND(H158&gt;0,J158&gt;0),(J158-H158)/H158,"")</f>
        <v/>
      </c>
      <c r="L158" s="13"/>
      <c r="M158" s="16" t="str">
        <f>IF(AND(J158&gt;0,L158&gt;0),(L158-J158)/J158,IF(AND(H158&gt;0,L158&gt;0),(L158-H158)/H158,""))</f>
        <v/>
      </c>
      <c r="N158" s="14">
        <v>45834</v>
      </c>
      <c r="O158" s="13">
        <v>6.76</v>
      </c>
      <c r="P158" s="16" t="str">
        <f>IF(AND(L158&gt;0,O158&gt;0),(O158-L158)/L158,"")</f>
        <v/>
      </c>
      <c r="Q158" s="18"/>
      <c r="R158" s="18">
        <v>1</v>
      </c>
      <c r="S158" s="10">
        <f>IF(N158&gt;0,TODAY()-N158,"")</f>
        <v>277</v>
      </c>
    </row>
    <row r="159" ht="17" customHeight="1" spans="1:19" x14ac:dyDescent="0.25">
      <c r="A159" s="3" t="s">
        <v>20</v>
      </c>
      <c r="B159" s="3" t="s">
        <v>117</v>
      </c>
      <c r="C159" s="3" t="s">
        <v>340</v>
      </c>
      <c r="D159" s="3" t="s">
        <v>341</v>
      </c>
      <c r="E159" s="4">
        <v>300</v>
      </c>
      <c r="F159" s="5">
        <v>12.11</v>
      </c>
      <c r="G159" s="6">
        <v>45721</v>
      </c>
      <c r="H159" s="5">
        <v>14.19</v>
      </c>
      <c r="I159" s="7" t="s">
        <v>24</v>
      </c>
      <c r="J159" s="5"/>
      <c r="K159" s="8" t="str">
        <f>IF(AND(H159&gt;0,J159&gt;0),(J159-H159)/H159,"")</f>
        <v/>
      </c>
      <c r="L159" s="5"/>
      <c r="M159" s="8" t="str">
        <f>IF(AND(J159&gt;0,L159&gt;0),(L159-J159)/J159,IF(AND(H159&gt;0,L159&gt;0),(L159-H159)/H159,""))</f>
        <v/>
      </c>
      <c r="N159" s="6">
        <v>45834</v>
      </c>
      <c r="O159" s="5">
        <v>7.95</v>
      </c>
      <c r="P159" s="8" t="str">
        <f>IF(AND(L159&gt;0,O159&gt;0),(O159-L159)/L159,"")</f>
        <v/>
      </c>
      <c r="Q159" s="9">
        <v>113</v>
      </c>
      <c r="R159" s="9">
        <v>2</v>
      </c>
      <c r="S159" s="10">
        <f>IF(N159&gt;0,TODAY()-N159,"")</f>
        <v>277</v>
      </c>
    </row>
    <row r="160" ht="17" customHeight="1" spans="1:19" x14ac:dyDescent="0.25">
      <c r="A160" s="11" t="s">
        <v>20</v>
      </c>
      <c r="B160" s="11" t="s">
        <v>117</v>
      </c>
      <c r="C160" s="11" t="s">
        <v>342</v>
      </c>
      <c r="D160" s="11" t="s">
        <v>343</v>
      </c>
      <c r="E160" s="12">
        <v>41</v>
      </c>
      <c r="F160" s="13">
        <v>167.26829268292684</v>
      </c>
      <c r="G160" s="14">
        <v>45684</v>
      </c>
      <c r="H160" s="13">
        <v>162</v>
      </c>
      <c r="I160" s="15" t="s">
        <v>24</v>
      </c>
      <c r="J160" s="13"/>
      <c r="K160" s="16" t="str">
        <f>IF(AND(H160&gt;0,J160&gt;0),(J160-H160)/H160,"")</f>
        <v/>
      </c>
      <c r="L160" s="13"/>
      <c r="M160" s="16" t="str">
        <f>IF(AND(J160&gt;0,L160&gt;0),(L160-J160)/J160,IF(AND(H160&gt;0,L160&gt;0),(L160-H160)/H160,""))</f>
        <v/>
      </c>
      <c r="N160" s="14">
        <v>45750</v>
      </c>
      <c r="O160" s="13">
        <v>175.5</v>
      </c>
      <c r="P160" s="16" t="str">
        <f>IF(AND(L160&gt;0,O160&gt;0),(O160-L160)/L160,"")</f>
        <v/>
      </c>
      <c r="Q160" s="18">
        <v>33</v>
      </c>
      <c r="R160" s="18">
        <v>3</v>
      </c>
      <c r="S160" s="10">
        <f>IF(N160&gt;0,TODAY()-N160,"")</f>
        <v>361</v>
      </c>
    </row>
    <row r="161" ht="17" customHeight="1" spans="1:19" x14ac:dyDescent="0.25">
      <c r="A161" s="3" t="s">
        <v>20</v>
      </c>
      <c r="B161" s="3" t="s">
        <v>117</v>
      </c>
      <c r="C161" s="3" t="s">
        <v>344</v>
      </c>
      <c r="D161" s="3" t="s">
        <v>345</v>
      </c>
      <c r="E161" s="4">
        <v>4</v>
      </c>
      <c r="F161" s="5">
        <v>7593.75</v>
      </c>
      <c r="G161" s="6">
        <v>45818</v>
      </c>
      <c r="H161" s="5">
        <v>7458.33</v>
      </c>
      <c r="I161" s="7" t="s">
        <v>24</v>
      </c>
      <c r="J161" s="5"/>
      <c r="K161" s="8" t="str">
        <f>IF(AND(H161&gt;0,J161&gt;0),(J161-H161)/H161,"")</f>
        <v/>
      </c>
      <c r="L161" s="5">
        <v>8000</v>
      </c>
      <c r="M161" s="24">
        <f>IF(AND(J161&gt;0,L161&gt;0),(L161-J161)/J161,IF(AND(H161&gt;0,L161&gt;0),(L161-H161)/H161,""))</f>
        <v>0.07262617771002357</v>
      </c>
      <c r="N161" s="6">
        <v>46050</v>
      </c>
      <c r="O161" s="5">
        <v>8000</v>
      </c>
      <c r="P161" s="8" t="str">
        <f>IF(AND(L161&gt;0,O161&gt;0),(O161-L161)/L161,"")</f>
        <v/>
      </c>
      <c r="Q161" s="9">
        <v>232</v>
      </c>
      <c r="R161" s="9">
        <v>2</v>
      </c>
      <c r="S161" s="19">
        <f>IF(N161&gt;0,TODAY()-N161,"")</f>
        <v>61</v>
      </c>
    </row>
    <row r="162" ht="17" customHeight="1" spans="1:19" x14ac:dyDescent="0.25">
      <c r="A162" s="11" t="s">
        <v>20</v>
      </c>
      <c r="B162" s="11" t="s">
        <v>117</v>
      </c>
      <c r="C162" s="11" t="s">
        <v>346</v>
      </c>
      <c r="D162" s="11" t="s">
        <v>347</v>
      </c>
      <c r="E162" s="12">
        <v>1</v>
      </c>
      <c r="F162" s="13">
        <v>1672</v>
      </c>
      <c r="G162" s="14">
        <v>46051</v>
      </c>
      <c r="H162" s="13">
        <v>1672</v>
      </c>
      <c r="I162" s="15" t="s">
        <v>24</v>
      </c>
      <c r="J162" s="13"/>
      <c r="K162" s="16" t="str">
        <f>IF(AND(H162&gt;0,J162&gt;0),(J162-H162)/H162,"")</f>
        <v/>
      </c>
      <c r="L162" s="13">
        <v>1672</v>
      </c>
      <c r="M162" s="17">
        <f>IF(AND(J162&gt;0,L162&gt;0),(L162-J162)/J162,IF(AND(H162&gt;0,L162&gt;0),(L162-H162)/H162,""))</f>
        <v>0</v>
      </c>
      <c r="N162" s="14">
        <v>46051</v>
      </c>
      <c r="O162" s="13">
        <v>1672</v>
      </c>
      <c r="P162" s="16" t="str">
        <f>IF(AND(L162&gt;0,O162&gt;0),(O162-L162)/L162,"")</f>
        <v/>
      </c>
      <c r="Q162" s="18"/>
      <c r="R162" s="18">
        <v>1</v>
      </c>
      <c r="S162" s="18">
        <f>IF(N162&gt;0,TODAY()-N162,"")</f>
        <v>60</v>
      </c>
    </row>
    <row r="163" ht="17" customHeight="1" spans="1:19" x14ac:dyDescent="0.25">
      <c r="A163" s="3" t="s">
        <v>20</v>
      </c>
      <c r="B163" s="3" t="s">
        <v>117</v>
      </c>
      <c r="C163" s="3" t="s">
        <v>348</v>
      </c>
      <c r="D163" s="3" t="s">
        <v>349</v>
      </c>
      <c r="E163" s="4">
        <v>114</v>
      </c>
      <c r="F163" s="5">
        <v>2244.9977596052636</v>
      </c>
      <c r="G163" s="6">
        <v>45695</v>
      </c>
      <c r="H163" s="5">
        <v>2015.62</v>
      </c>
      <c r="I163" s="7" t="s">
        <v>54</v>
      </c>
      <c r="J163" s="5">
        <v>2391.26</v>
      </c>
      <c r="K163" s="22">
        <f>IF(AND(H163&gt;0,J163&gt;0),(J163-H163)/H163,"")</f>
        <v>0.1863644933072704</v>
      </c>
      <c r="L163" s="5">
        <v>2364.87</v>
      </c>
      <c r="M163" s="26">
        <f>IF(AND(J163&gt;0,L163&gt;0),(L163-J163)/J163,IF(AND(H163&gt;0,L163&gt;0),(L163-H163)/H163,""))</f>
        <v>-0.011036022849878445</v>
      </c>
      <c r="N163" s="6">
        <v>46105</v>
      </c>
      <c r="O163" s="5">
        <v>2468.79</v>
      </c>
      <c r="P163" s="24">
        <f>IF(AND(L163&gt;0,O163&gt;0),(O163-L163)/L163,"")</f>
        <v>0.04394321886615335</v>
      </c>
      <c r="Q163" s="9">
        <v>22</v>
      </c>
      <c r="R163" s="9">
        <v>20</v>
      </c>
      <c r="S163" s="9">
        <f>IF(N163&gt;0,TODAY()-N163,"")</f>
        <v>6</v>
      </c>
    </row>
    <row r="164" ht="17" customHeight="1" spans="1:19" x14ac:dyDescent="0.25">
      <c r="A164" s="11" t="s">
        <v>20</v>
      </c>
      <c r="B164" s="11" t="s">
        <v>117</v>
      </c>
      <c r="C164" s="11" t="s">
        <v>350</v>
      </c>
      <c r="D164" s="11" t="s">
        <v>351</v>
      </c>
      <c r="E164" s="12">
        <v>24</v>
      </c>
      <c r="F164" s="13">
        <v>3144.524766666667</v>
      </c>
      <c r="G164" s="14">
        <v>45749</v>
      </c>
      <c r="H164" s="13">
        <v>2202.87</v>
      </c>
      <c r="I164" s="15" t="s">
        <v>54</v>
      </c>
      <c r="J164" s="13">
        <v>3374.77</v>
      </c>
      <c r="K164" s="23">
        <f>IF(AND(H164&gt;0,J164&gt;0),(J164-H164)/H164,"")</f>
        <v>0.5319878158947192</v>
      </c>
      <c r="L164" s="13">
        <v>3413.36</v>
      </c>
      <c r="M164" s="17">
        <f>IF(AND(J164&gt;0,L164&gt;0),(L164-J164)/J164,IF(AND(H164&gt;0,L164&gt;0),(L164-H164)/H164,""))</f>
        <v>0.011434853338153458</v>
      </c>
      <c r="N164" s="14">
        <v>46086</v>
      </c>
      <c r="O164" s="13">
        <v>4484.26</v>
      </c>
      <c r="P164" s="23">
        <f>IF(AND(L164&gt;0,O164&gt;0),(O164-L164)/L164,"")</f>
        <v>0.313737783298568</v>
      </c>
      <c r="Q164" s="18">
        <v>31</v>
      </c>
      <c r="R164" s="18">
        <v>12</v>
      </c>
      <c r="S164" s="18">
        <f>IF(N164&gt;0,TODAY()-N164,"")</f>
        <v>25</v>
      </c>
    </row>
    <row r="165" ht="17" customHeight="1" spans="1:19" x14ac:dyDescent="0.25">
      <c r="A165" s="3" t="s">
        <v>20</v>
      </c>
      <c r="B165" s="3" t="s">
        <v>117</v>
      </c>
      <c r="C165" s="3" t="s">
        <v>352</v>
      </c>
      <c r="D165" s="3" t="s">
        <v>353</v>
      </c>
      <c r="E165" s="4">
        <v>5</v>
      </c>
      <c r="F165" s="5">
        <v>3880.6607824</v>
      </c>
      <c r="G165" s="6">
        <v>45875</v>
      </c>
      <c r="H165" s="5">
        <v>4100.86</v>
      </c>
      <c r="I165" s="7" t="s">
        <v>24</v>
      </c>
      <c r="J165" s="5"/>
      <c r="K165" s="8" t="str">
        <f>IF(AND(H165&gt;0,J165&gt;0),(J165-H165)/H165,"")</f>
        <v/>
      </c>
      <c r="L165" s="5"/>
      <c r="M165" s="8" t="str">
        <f>IF(AND(J165&gt;0,L165&gt;0),(L165-J165)/J165,IF(AND(H165&gt;0,L165&gt;0),(L165-H165)/H165,""))</f>
        <v/>
      </c>
      <c r="N165" s="6">
        <v>45889</v>
      </c>
      <c r="O165" s="5">
        <v>3387.39</v>
      </c>
      <c r="P165" s="8" t="str">
        <f>IF(AND(L165&gt;0,O165&gt;0),(O165-L165)/L165,"")</f>
        <v/>
      </c>
      <c r="Q165" s="9">
        <v>7</v>
      </c>
      <c r="R165" s="9">
        <v>3</v>
      </c>
      <c r="S165" s="10">
        <f>IF(N165&gt;0,TODAY()-N165,"")</f>
        <v>222</v>
      </c>
    </row>
    <row r="166" ht="17" customHeight="1" spans="1:19" x14ac:dyDescent="0.25">
      <c r="A166" s="11" t="s">
        <v>20</v>
      </c>
      <c r="B166" s="11" t="s">
        <v>117</v>
      </c>
      <c r="C166" s="11" t="s">
        <v>354</v>
      </c>
      <c r="D166" s="11" t="s">
        <v>355</v>
      </c>
      <c r="E166" s="12">
        <v>120</v>
      </c>
      <c r="F166" s="13">
        <v>891.6666666666666</v>
      </c>
      <c r="G166" s="14">
        <v>45771</v>
      </c>
      <c r="H166" s="13">
        <v>770</v>
      </c>
      <c r="I166" s="15" t="s">
        <v>57</v>
      </c>
      <c r="J166" s="13">
        <v>930</v>
      </c>
      <c r="K166" s="20">
        <f>IF(AND(H166&gt;0,J166&gt;0),(J166-H166)/H166,"")</f>
        <v>0.20779220779220778</v>
      </c>
      <c r="L166" s="13"/>
      <c r="M166" s="16" t="str">
        <f>IF(AND(J166&gt;0,L166&gt;0),(L166-J166)/J166,IF(AND(H166&gt;0,L166&gt;0),(L166-H166)/H166,""))</f>
        <v/>
      </c>
      <c r="N166" s="14">
        <v>45945</v>
      </c>
      <c r="O166" s="13">
        <v>930</v>
      </c>
      <c r="P166" s="16" t="str">
        <f>IF(AND(L166&gt;0,O166&gt;0),(O166-L166)/L166,"")</f>
        <v/>
      </c>
      <c r="Q166" s="18">
        <v>87</v>
      </c>
      <c r="R166" s="18">
        <v>3</v>
      </c>
      <c r="S166" s="21">
        <f>IF(N166&gt;0,TODAY()-N166,"")</f>
        <v>166</v>
      </c>
    </row>
    <row r="167" ht="17" customHeight="1" spans="1:19" x14ac:dyDescent="0.25">
      <c r="A167" s="3" t="s">
        <v>20</v>
      </c>
      <c r="B167" s="3" t="s">
        <v>117</v>
      </c>
      <c r="C167" s="3" t="s">
        <v>356</v>
      </c>
      <c r="D167" s="3" t="s">
        <v>357</v>
      </c>
      <c r="E167" s="4">
        <v>6</v>
      </c>
      <c r="F167" s="5">
        <v>76.3</v>
      </c>
      <c r="G167" s="6">
        <v>45758</v>
      </c>
      <c r="H167" s="5">
        <v>76.3</v>
      </c>
      <c r="I167" s="7" t="s">
        <v>24</v>
      </c>
      <c r="J167" s="5"/>
      <c r="K167" s="8" t="str">
        <f>IF(AND(H167&gt;0,J167&gt;0),(J167-H167)/H167,"")</f>
        <v/>
      </c>
      <c r="L167" s="5"/>
      <c r="M167" s="8" t="str">
        <f>IF(AND(J167&gt;0,L167&gt;0),(L167-J167)/J167,IF(AND(H167&gt;0,L167&gt;0),(L167-H167)/H167,""))</f>
        <v/>
      </c>
      <c r="N167" s="6">
        <v>45758</v>
      </c>
      <c r="O167" s="5">
        <v>76.3</v>
      </c>
      <c r="P167" s="8" t="str">
        <f>IF(AND(L167&gt;0,O167&gt;0),(O167-L167)/L167,"")</f>
        <v/>
      </c>
      <c r="Q167" s="9"/>
      <c r="R167" s="9">
        <v>1</v>
      </c>
      <c r="S167" s="10">
        <f>IF(N167&gt;0,TODAY()-N167,"")</f>
        <v>353</v>
      </c>
    </row>
    <row r="168" ht="17" customHeight="1" spans="1:19" x14ac:dyDescent="0.25">
      <c r="A168" s="11" t="s">
        <v>20</v>
      </c>
      <c r="B168" s="11" t="s">
        <v>117</v>
      </c>
      <c r="C168" s="11" t="s">
        <v>358</v>
      </c>
      <c r="D168" s="11" t="s">
        <v>359</v>
      </c>
      <c r="E168" s="12">
        <v>100</v>
      </c>
      <c r="F168" s="13">
        <v>11.25</v>
      </c>
      <c r="G168" s="14">
        <v>46104</v>
      </c>
      <c r="H168" s="13">
        <v>11.25</v>
      </c>
      <c r="I168" s="15" t="s">
        <v>24</v>
      </c>
      <c r="J168" s="13"/>
      <c r="K168" s="16" t="str">
        <f>IF(AND(H168&gt;0,J168&gt;0),(J168-H168)/H168,"")</f>
        <v/>
      </c>
      <c r="L168" s="13"/>
      <c r="M168" s="16" t="str">
        <f>IF(AND(J168&gt;0,L168&gt;0),(L168-J168)/J168,IF(AND(H168&gt;0,L168&gt;0),(L168-H168)/H168,""))</f>
        <v/>
      </c>
      <c r="N168" s="14">
        <v>46104</v>
      </c>
      <c r="O168" s="13">
        <v>11.25</v>
      </c>
      <c r="P168" s="17">
        <f>IF(AND(L168&gt;0,O168&gt;0),(O168-L168)/L168,"")</f>
        <v>0</v>
      </c>
      <c r="Q168" s="18"/>
      <c r="R168" s="18">
        <v>1</v>
      </c>
      <c r="S168" s="18">
        <f>IF(N168&gt;0,TODAY()-N168,"")</f>
        <v>7</v>
      </c>
    </row>
    <row r="169" ht="17" customHeight="1" spans="1:19" x14ac:dyDescent="0.25">
      <c r="A169" s="3" t="s">
        <v>20</v>
      </c>
      <c r="B169" s="3" t="s">
        <v>117</v>
      </c>
      <c r="C169" s="3" t="s">
        <v>360</v>
      </c>
      <c r="D169" s="3" t="s">
        <v>361</v>
      </c>
      <c r="E169" s="4">
        <v>1000</v>
      </c>
      <c r="F169" s="5">
        <v>6.75</v>
      </c>
      <c r="G169" s="6">
        <v>45749</v>
      </c>
      <c r="H169" s="5">
        <v>6.75</v>
      </c>
      <c r="I169" s="7" t="s">
        <v>24</v>
      </c>
      <c r="J169" s="5"/>
      <c r="K169" s="8" t="str">
        <f>IF(AND(H169&gt;0,J169&gt;0),(J169-H169)/H169,"")</f>
        <v/>
      </c>
      <c r="L169" s="5"/>
      <c r="M169" s="8" t="str">
        <f>IF(AND(J169&gt;0,L169&gt;0),(L169-J169)/J169,IF(AND(H169&gt;0,L169&gt;0),(L169-H169)/H169,""))</f>
        <v/>
      </c>
      <c r="N169" s="6">
        <v>45854</v>
      </c>
      <c r="O169" s="5">
        <v>6.75</v>
      </c>
      <c r="P169" s="8" t="str">
        <f>IF(AND(L169&gt;0,O169&gt;0),(O169-L169)/L169,"")</f>
        <v/>
      </c>
      <c r="Q169" s="9">
        <v>53</v>
      </c>
      <c r="R169" s="9">
        <v>3</v>
      </c>
      <c r="S169" s="10">
        <f>IF(N169&gt;0,TODAY()-N169,"")</f>
        <v>257</v>
      </c>
    </row>
    <row r="170" ht="17" customHeight="1" spans="1:19" x14ac:dyDescent="0.25">
      <c r="A170" s="11" t="s">
        <v>20</v>
      </c>
      <c r="B170" s="11" t="s">
        <v>117</v>
      </c>
      <c r="C170" s="11" t="s">
        <v>362</v>
      </c>
      <c r="D170" s="11" t="s">
        <v>361</v>
      </c>
      <c r="E170" s="12">
        <v>1100</v>
      </c>
      <c r="F170" s="13">
        <v>7.7860000000000005</v>
      </c>
      <c r="G170" s="14">
        <v>45924</v>
      </c>
      <c r="H170" s="13">
        <v>8.72</v>
      </c>
      <c r="I170" s="15" t="s">
        <v>24</v>
      </c>
      <c r="J170" s="13"/>
      <c r="K170" s="16" t="str">
        <f>IF(AND(H170&gt;0,J170&gt;0),(J170-H170)/H170,"")</f>
        <v/>
      </c>
      <c r="L170" s="13"/>
      <c r="M170" s="16" t="str">
        <f>IF(AND(J170&gt;0,L170&gt;0),(L170-J170)/J170,IF(AND(H170&gt;0,L170&gt;0),(L170-H170)/H170,""))</f>
        <v/>
      </c>
      <c r="N170" s="14">
        <v>46108</v>
      </c>
      <c r="O170" s="13">
        <v>6.67</v>
      </c>
      <c r="P170" s="25">
        <f>IF(AND(L170&gt;0,O170&gt;0),(O170-L170)/L170,"")</f>
        <v>-0.23509174311926612</v>
      </c>
      <c r="Q170" s="18">
        <v>184</v>
      </c>
      <c r="R170" s="18">
        <v>2</v>
      </c>
      <c r="S170" s="18">
        <f>IF(N170&gt;0,TODAY()-N170,"")</f>
        <v>3</v>
      </c>
    </row>
    <row r="171" ht="17" customHeight="1" spans="1:19" x14ac:dyDescent="0.25">
      <c r="A171" s="3" t="s">
        <v>20</v>
      </c>
      <c r="B171" s="3" t="s">
        <v>117</v>
      </c>
      <c r="C171" s="3" t="s">
        <v>363</v>
      </c>
      <c r="D171" s="3" t="s">
        <v>364</v>
      </c>
      <c r="E171" s="4">
        <v>100</v>
      </c>
      <c r="F171" s="5">
        <v>15</v>
      </c>
      <c r="G171" s="6">
        <v>45713</v>
      </c>
      <c r="H171" s="5">
        <v>15</v>
      </c>
      <c r="I171" s="7" t="s">
        <v>24</v>
      </c>
      <c r="J171" s="5"/>
      <c r="K171" s="8" t="str">
        <f>IF(AND(H171&gt;0,J171&gt;0),(J171-H171)/H171,"")</f>
        <v/>
      </c>
      <c r="L171" s="5"/>
      <c r="M171" s="8" t="str">
        <f>IF(AND(J171&gt;0,L171&gt;0),(L171-J171)/J171,IF(AND(H171&gt;0,L171&gt;0),(L171-H171)/H171,""))</f>
        <v/>
      </c>
      <c r="N171" s="6">
        <v>45713</v>
      </c>
      <c r="O171" s="5">
        <v>15</v>
      </c>
      <c r="P171" s="8" t="str">
        <f>IF(AND(L171&gt;0,O171&gt;0),(O171-L171)/L171,"")</f>
        <v/>
      </c>
      <c r="Q171" s="9"/>
      <c r="R171" s="9">
        <v>1</v>
      </c>
      <c r="S171" s="10">
        <f>IF(N171&gt;0,TODAY()-N171,"")</f>
        <v>398</v>
      </c>
    </row>
    <row r="172" ht="17" customHeight="1" spans="1:19" x14ac:dyDescent="0.25">
      <c r="A172" s="11" t="s">
        <v>20</v>
      </c>
      <c r="B172" s="11" t="s">
        <v>117</v>
      </c>
      <c r="C172" s="11" t="s">
        <v>365</v>
      </c>
      <c r="D172" s="11" t="s">
        <v>366</v>
      </c>
      <c r="E172" s="12">
        <v>100</v>
      </c>
      <c r="F172" s="13">
        <v>15</v>
      </c>
      <c r="G172" s="14">
        <v>45713</v>
      </c>
      <c r="H172" s="13">
        <v>15</v>
      </c>
      <c r="I172" s="15" t="s">
        <v>24</v>
      </c>
      <c r="J172" s="13"/>
      <c r="K172" s="16" t="str">
        <f>IF(AND(H172&gt;0,J172&gt;0),(J172-H172)/H172,"")</f>
        <v/>
      </c>
      <c r="L172" s="13"/>
      <c r="M172" s="16" t="str">
        <f>IF(AND(J172&gt;0,L172&gt;0),(L172-J172)/J172,IF(AND(H172&gt;0,L172&gt;0),(L172-H172)/H172,""))</f>
        <v/>
      </c>
      <c r="N172" s="14">
        <v>45713</v>
      </c>
      <c r="O172" s="13">
        <v>15</v>
      </c>
      <c r="P172" s="16" t="str">
        <f>IF(AND(L172&gt;0,O172&gt;0),(O172-L172)/L172,"")</f>
        <v/>
      </c>
      <c r="Q172" s="18"/>
      <c r="R172" s="18">
        <v>1</v>
      </c>
      <c r="S172" s="10">
        <f>IF(N172&gt;0,TODAY()-N172,"")</f>
        <v>398</v>
      </c>
    </row>
    <row r="173" ht="17" customHeight="1" spans="1:19" x14ac:dyDescent="0.25">
      <c r="A173" s="3" t="s">
        <v>20</v>
      </c>
      <c r="B173" s="3" t="s">
        <v>117</v>
      </c>
      <c r="C173" s="3" t="s">
        <v>367</v>
      </c>
      <c r="D173" s="3" t="s">
        <v>368</v>
      </c>
      <c r="E173" s="4">
        <v>700</v>
      </c>
      <c r="F173" s="5">
        <v>10</v>
      </c>
      <c r="G173" s="6">
        <v>45806</v>
      </c>
      <c r="H173" s="5">
        <v>10</v>
      </c>
      <c r="I173" s="7" t="s">
        <v>24</v>
      </c>
      <c r="J173" s="5"/>
      <c r="K173" s="8" t="str">
        <f>IF(AND(H173&gt;0,J173&gt;0),(J173-H173)/H173,"")</f>
        <v/>
      </c>
      <c r="L173" s="5"/>
      <c r="M173" s="8" t="str">
        <f>IF(AND(J173&gt;0,L173&gt;0),(L173-J173)/J173,IF(AND(H173&gt;0,L173&gt;0),(L173-H173)/H173,""))</f>
        <v/>
      </c>
      <c r="N173" s="6">
        <v>45806</v>
      </c>
      <c r="O173" s="5">
        <v>10</v>
      </c>
      <c r="P173" s="8" t="str">
        <f>IF(AND(L173&gt;0,O173&gt;0),(O173-L173)/L173,"")</f>
        <v/>
      </c>
      <c r="Q173" s="9"/>
      <c r="R173" s="9">
        <v>1</v>
      </c>
      <c r="S173" s="10">
        <f>IF(N173&gt;0,TODAY()-N173,"")</f>
        <v>305</v>
      </c>
    </row>
    <row r="174" ht="17" customHeight="1" spans="1:19" x14ac:dyDescent="0.25">
      <c r="A174" s="11" t="s">
        <v>20</v>
      </c>
      <c r="B174" s="11" t="s">
        <v>117</v>
      </c>
      <c r="C174" s="11" t="s">
        <v>369</v>
      </c>
      <c r="D174" s="11" t="s">
        <v>368</v>
      </c>
      <c r="E174" s="12">
        <v>1400</v>
      </c>
      <c r="F174" s="13">
        <v>7.057857142857143</v>
      </c>
      <c r="G174" s="14">
        <v>45924</v>
      </c>
      <c r="H174" s="13">
        <v>6.64</v>
      </c>
      <c r="I174" s="15" t="s">
        <v>24</v>
      </c>
      <c r="J174" s="13"/>
      <c r="K174" s="16" t="str">
        <f>IF(AND(H174&gt;0,J174&gt;0),(J174-H174)/H174,"")</f>
        <v/>
      </c>
      <c r="L174" s="13"/>
      <c r="M174" s="16" t="str">
        <f>IF(AND(J174&gt;0,L174&gt;0),(L174-J174)/J174,IF(AND(H174&gt;0,L174&gt;0),(L174-H174)/H174,""))</f>
        <v/>
      </c>
      <c r="N174" s="14">
        <v>46104</v>
      </c>
      <c r="O174" s="13">
        <v>8.1</v>
      </c>
      <c r="P174" s="20">
        <f>IF(AND(L174&gt;0,O174&gt;0),(O174-L174)/L174,"")</f>
        <v>0.21987951807228917</v>
      </c>
      <c r="Q174" s="18">
        <v>180</v>
      </c>
      <c r="R174" s="18">
        <v>2</v>
      </c>
      <c r="S174" s="18">
        <f>IF(N174&gt;0,TODAY()-N174,"")</f>
        <v>7</v>
      </c>
    </row>
    <row r="175" ht="17" customHeight="1" spans="1:19" x14ac:dyDescent="0.25">
      <c r="A175" s="3" t="s">
        <v>20</v>
      </c>
      <c r="B175" s="3" t="s">
        <v>117</v>
      </c>
      <c r="C175" s="3" t="s">
        <v>370</v>
      </c>
      <c r="D175" s="3" t="s">
        <v>371</v>
      </c>
      <c r="E175" s="4">
        <v>85</v>
      </c>
      <c r="F175" s="5">
        <v>16.105882352941176</v>
      </c>
      <c r="G175" s="6">
        <v>45867</v>
      </c>
      <c r="H175" s="5">
        <v>13</v>
      </c>
      <c r="I175" s="7" t="s">
        <v>24</v>
      </c>
      <c r="J175" s="5"/>
      <c r="K175" s="8" t="str">
        <f>IF(AND(H175&gt;0,J175&gt;0),(J175-H175)/H175,"")</f>
        <v/>
      </c>
      <c r="L175" s="5"/>
      <c r="M175" s="8" t="str">
        <f>IF(AND(J175&gt;0,L175&gt;0),(L175-J175)/J175,IF(AND(H175&gt;0,L175&gt;0),(L175-H175)/H175,""))</f>
        <v/>
      </c>
      <c r="N175" s="6">
        <v>46080</v>
      </c>
      <c r="O175" s="5">
        <v>19.6</v>
      </c>
      <c r="P175" s="23">
        <f>IF(AND(L175&gt;0,O175&gt;0),(O175-L175)/L175,"")</f>
        <v>0.5076923076923078</v>
      </c>
      <c r="Q175" s="9">
        <v>213</v>
      </c>
      <c r="R175" s="9">
        <v>2</v>
      </c>
      <c r="S175" s="9">
        <f>IF(N175&gt;0,TODAY()-N175,"")</f>
        <v>31</v>
      </c>
    </row>
    <row r="176" ht="17" customHeight="1" spans="1:19" x14ac:dyDescent="0.25">
      <c r="A176" s="11" t="s">
        <v>20</v>
      </c>
      <c r="B176" s="11" t="s">
        <v>117</v>
      </c>
      <c r="C176" s="11" t="s">
        <v>372</v>
      </c>
      <c r="D176" s="11" t="s">
        <v>373</v>
      </c>
      <c r="E176" s="12">
        <v>139</v>
      </c>
      <c r="F176" s="13">
        <v>84.88884892086331</v>
      </c>
      <c r="G176" s="14">
        <v>45684</v>
      </c>
      <c r="H176" s="13">
        <v>53.95</v>
      </c>
      <c r="I176" s="15" t="s">
        <v>60</v>
      </c>
      <c r="J176" s="13">
        <v>89.95</v>
      </c>
      <c r="K176" s="23">
        <f>IF(AND(H176&gt;0,J176&gt;0),(J176-H176)/H176,"")</f>
        <v>0.6672845227062095</v>
      </c>
      <c r="L176" s="13">
        <v>89.95</v>
      </c>
      <c r="M176" s="17">
        <f>IF(AND(J176&gt;0,L176&gt;0),(L176-J176)/J176,IF(AND(H176&gt;0,L176&gt;0),(L176-H176)/H176,""))</f>
        <v>0</v>
      </c>
      <c r="N176" s="14">
        <v>46105</v>
      </c>
      <c r="O176" s="13">
        <v>115.6</v>
      </c>
      <c r="P176" s="23">
        <f>IF(AND(L176&gt;0,O176&gt;0),(O176-L176)/L176,"")</f>
        <v>0.28515842134519165</v>
      </c>
      <c r="Q176" s="18">
        <v>38</v>
      </c>
      <c r="R176" s="18">
        <v>12</v>
      </c>
      <c r="S176" s="18">
        <f>IF(N176&gt;0,TODAY()-N176,"")</f>
        <v>6</v>
      </c>
    </row>
    <row r="177" ht="17" customHeight="1" spans="1:19" x14ac:dyDescent="0.25">
      <c r="A177" s="3" t="s">
        <v>20</v>
      </c>
      <c r="B177" s="3" t="s">
        <v>117</v>
      </c>
      <c r="C177" s="3" t="s">
        <v>374</v>
      </c>
      <c r="D177" s="3" t="s">
        <v>375</v>
      </c>
      <c r="E177" s="4">
        <v>141</v>
      </c>
      <c r="F177" s="5">
        <v>86.55354609929077</v>
      </c>
      <c r="G177" s="6">
        <v>45684</v>
      </c>
      <c r="H177" s="5">
        <v>67.05</v>
      </c>
      <c r="I177" s="7" t="s">
        <v>57</v>
      </c>
      <c r="J177" s="5">
        <v>83.85</v>
      </c>
      <c r="K177" s="23">
        <f>IF(AND(H177&gt;0,J177&gt;0),(J177-H177)/H177,"")</f>
        <v>0.25055928411633105</v>
      </c>
      <c r="L177" s="5">
        <v>83.85</v>
      </c>
      <c r="M177" s="24">
        <f>IF(AND(J177&gt;0,L177&gt;0),(L177-J177)/J177,IF(AND(H177&gt;0,L177&gt;0),(L177-H177)/H177,""))</f>
        <v>0</v>
      </c>
      <c r="N177" s="6">
        <v>46058</v>
      </c>
      <c r="O177" s="5">
        <v>101.4</v>
      </c>
      <c r="P177" s="22">
        <f>IF(AND(L177&gt;0,O177&gt;0),(O177-L177)/L177,"")</f>
        <v>0.2093023255813955</v>
      </c>
      <c r="Q177" s="9">
        <v>27</v>
      </c>
      <c r="R177" s="9">
        <v>15</v>
      </c>
      <c r="S177" s="9">
        <f>IF(N177&gt;0,TODAY()-N177,"")</f>
        <v>53</v>
      </c>
    </row>
    <row r="178" ht="17" customHeight="1" spans="1:19" x14ac:dyDescent="0.25">
      <c r="A178" s="11" t="s">
        <v>20</v>
      </c>
      <c r="B178" s="11" t="s">
        <v>117</v>
      </c>
      <c r="C178" s="11" t="s">
        <v>376</v>
      </c>
      <c r="D178" s="11" t="s">
        <v>377</v>
      </c>
      <c r="E178" s="12">
        <v>50</v>
      </c>
      <c r="F178" s="13">
        <v>85</v>
      </c>
      <c r="G178" s="14">
        <v>46079</v>
      </c>
      <c r="H178" s="13">
        <v>85</v>
      </c>
      <c r="I178" s="15" t="s">
        <v>24</v>
      </c>
      <c r="J178" s="13"/>
      <c r="K178" s="16" t="str">
        <f>IF(AND(H178&gt;0,J178&gt;0),(J178-H178)/H178,"")</f>
        <v/>
      </c>
      <c r="L178" s="13"/>
      <c r="M178" s="16" t="str">
        <f>IF(AND(J178&gt;0,L178&gt;0),(L178-J178)/J178,IF(AND(H178&gt;0,L178&gt;0),(L178-H178)/H178,""))</f>
        <v/>
      </c>
      <c r="N178" s="14">
        <v>46079</v>
      </c>
      <c r="O178" s="13">
        <v>85</v>
      </c>
      <c r="P178" s="17">
        <f>IF(AND(L178&gt;0,O178&gt;0),(O178-L178)/L178,"")</f>
        <v>0</v>
      </c>
      <c r="Q178" s="18"/>
      <c r="R178" s="18">
        <v>1</v>
      </c>
      <c r="S178" s="18">
        <f>IF(N178&gt;0,TODAY()-N178,"")</f>
        <v>32</v>
      </c>
    </row>
    <row r="179" ht="17" customHeight="1" spans="1:19" x14ac:dyDescent="0.25">
      <c r="A179" s="3" t="s">
        <v>20</v>
      </c>
      <c r="B179" s="3" t="s">
        <v>117</v>
      </c>
      <c r="C179" s="3" t="s">
        <v>378</v>
      </c>
      <c r="D179" s="3" t="s">
        <v>379</v>
      </c>
      <c r="E179" s="4">
        <v>200</v>
      </c>
      <c r="F179" s="5">
        <v>26.8</v>
      </c>
      <c r="G179" s="6">
        <v>45820</v>
      </c>
      <c r="H179" s="5">
        <v>14</v>
      </c>
      <c r="I179" s="7" t="s">
        <v>24</v>
      </c>
      <c r="J179" s="5"/>
      <c r="K179" s="8" t="str">
        <f>IF(AND(H179&gt;0,J179&gt;0),(J179-H179)/H179,"")</f>
        <v/>
      </c>
      <c r="L179" s="5"/>
      <c r="M179" s="8" t="str">
        <f>IF(AND(J179&gt;0,L179&gt;0),(L179-J179)/J179,IF(AND(H179&gt;0,L179&gt;0),(L179-H179)/H179,""))</f>
        <v/>
      </c>
      <c r="N179" s="6">
        <v>46079</v>
      </c>
      <c r="O179" s="5">
        <v>39.6</v>
      </c>
      <c r="P179" s="23">
        <f>IF(AND(L179&gt;0,O179&gt;0),(O179-L179)/L179,"")</f>
        <v>1.8285714285714285</v>
      </c>
      <c r="Q179" s="9">
        <v>259</v>
      </c>
      <c r="R179" s="9">
        <v>2</v>
      </c>
      <c r="S179" s="9">
        <f>IF(N179&gt;0,TODAY()-N179,"")</f>
        <v>32</v>
      </c>
    </row>
    <row r="180" ht="17" customHeight="1" spans="1:19" x14ac:dyDescent="0.25">
      <c r="A180" s="11" t="s">
        <v>20</v>
      </c>
      <c r="B180" s="11" t="s">
        <v>117</v>
      </c>
      <c r="C180" s="11" t="s">
        <v>380</v>
      </c>
      <c r="D180" s="11" t="s">
        <v>381</v>
      </c>
      <c r="E180" s="12">
        <v>200</v>
      </c>
      <c r="F180" s="13">
        <v>26.8</v>
      </c>
      <c r="G180" s="14">
        <v>45820</v>
      </c>
      <c r="H180" s="13">
        <v>14</v>
      </c>
      <c r="I180" s="15" t="s">
        <v>24</v>
      </c>
      <c r="J180" s="13"/>
      <c r="K180" s="16" t="str">
        <f>IF(AND(H180&gt;0,J180&gt;0),(J180-H180)/H180,"")</f>
        <v/>
      </c>
      <c r="L180" s="13"/>
      <c r="M180" s="16" t="str">
        <f>IF(AND(J180&gt;0,L180&gt;0),(L180-J180)/J180,IF(AND(H180&gt;0,L180&gt;0),(L180-H180)/H180,""))</f>
        <v/>
      </c>
      <c r="N180" s="14">
        <v>46079</v>
      </c>
      <c r="O180" s="13">
        <v>39.6</v>
      </c>
      <c r="P180" s="23">
        <f>IF(AND(L180&gt;0,O180&gt;0),(O180-L180)/L180,"")</f>
        <v>1.8285714285714285</v>
      </c>
      <c r="Q180" s="18">
        <v>259</v>
      </c>
      <c r="R180" s="18">
        <v>2</v>
      </c>
      <c r="S180" s="18">
        <f>IF(N180&gt;0,TODAY()-N180,"")</f>
        <v>32</v>
      </c>
    </row>
    <row r="181" ht="17" customHeight="1" spans="1:19" x14ac:dyDescent="0.25">
      <c r="A181" s="3" t="s">
        <v>20</v>
      </c>
      <c r="B181" s="3" t="s">
        <v>117</v>
      </c>
      <c r="C181" s="3" t="s">
        <v>382</v>
      </c>
      <c r="D181" s="3" t="s">
        <v>383</v>
      </c>
      <c r="E181" s="4">
        <v>426</v>
      </c>
      <c r="F181" s="5">
        <v>65.2428494544968</v>
      </c>
      <c r="G181" s="6">
        <v>45671</v>
      </c>
      <c r="H181" s="5">
        <v>58.4</v>
      </c>
      <c r="I181" s="7" t="s">
        <v>54</v>
      </c>
      <c r="J181" s="5">
        <v>70.71</v>
      </c>
      <c r="K181" s="22">
        <f>IF(AND(H181&gt;0,J181&gt;0),(J181-H181)/H181,"")</f>
        <v>0.21078767123287664</v>
      </c>
      <c r="L181" s="5">
        <v>71.52</v>
      </c>
      <c r="M181" s="24">
        <f>IF(AND(J181&gt;0,L181&gt;0),(L181-J181)/J181,IF(AND(H181&gt;0,L181&gt;0),(L181-H181)/H181,""))</f>
        <v>0.0114552397114977</v>
      </c>
      <c r="N181" s="6">
        <v>46105</v>
      </c>
      <c r="O181" s="5">
        <v>73</v>
      </c>
      <c r="P181" s="24">
        <f>IF(AND(L181&gt;0,O181&gt;0),(O181-L181)/L181,"")</f>
        <v>0.020693512304250615</v>
      </c>
      <c r="Q181" s="9">
        <v>21</v>
      </c>
      <c r="R181" s="9">
        <v>22</v>
      </c>
      <c r="S181" s="9">
        <f>IF(N181&gt;0,TODAY()-N181,"")</f>
        <v>6</v>
      </c>
    </row>
    <row r="182" ht="17" customHeight="1" spans="1:19" x14ac:dyDescent="0.25">
      <c r="A182" s="11" t="s">
        <v>20</v>
      </c>
      <c r="B182" s="11" t="s">
        <v>117</v>
      </c>
      <c r="C182" s="11" t="s">
        <v>384</v>
      </c>
      <c r="D182" s="11" t="s">
        <v>385</v>
      </c>
      <c r="E182" s="12">
        <v>256</v>
      </c>
      <c r="F182" s="13">
        <v>66.52163853916267</v>
      </c>
      <c r="G182" s="14">
        <v>45700</v>
      </c>
      <c r="H182" s="13">
        <v>59.33</v>
      </c>
      <c r="I182" s="15" t="s">
        <v>60</v>
      </c>
      <c r="J182" s="13">
        <v>69.38</v>
      </c>
      <c r="K182" s="20">
        <f>IF(AND(H182&gt;0,J182&gt;0),(J182-H182)/H182,"")</f>
        <v>0.1693915388504972</v>
      </c>
      <c r="L182" s="13">
        <v>71.52</v>
      </c>
      <c r="M182" s="17">
        <f>IF(AND(J182&gt;0,L182&gt;0),(L182-J182)/J182,IF(AND(H182&gt;0,L182&gt;0),(L182-H182)/H182,""))</f>
        <v>0.03084462381089652</v>
      </c>
      <c r="N182" s="14">
        <v>46052</v>
      </c>
      <c r="O182" s="13">
        <v>71.52</v>
      </c>
      <c r="P182" s="16" t="str">
        <f>IF(AND(L182&gt;0,O182&gt;0),(O182-L182)/L182,"")</f>
        <v/>
      </c>
      <c r="Q182" s="18">
        <v>32</v>
      </c>
      <c r="R182" s="18">
        <v>12</v>
      </c>
      <c r="S182" s="18">
        <f>IF(N182&gt;0,TODAY()-N182,"")</f>
        <v>59</v>
      </c>
    </row>
    <row r="183" ht="17" customHeight="1" spans="1:19" x14ac:dyDescent="0.25">
      <c r="A183" s="3" t="s">
        <v>20</v>
      </c>
      <c r="B183" s="3" t="s">
        <v>117</v>
      </c>
      <c r="C183" s="3" t="s">
        <v>386</v>
      </c>
      <c r="D183" s="3" t="s">
        <v>387</v>
      </c>
      <c r="E183" s="4">
        <v>119</v>
      </c>
      <c r="F183" s="5">
        <v>3023.9002621848736</v>
      </c>
      <c r="G183" s="6">
        <v>45671</v>
      </c>
      <c r="H183" s="5">
        <v>2520.47</v>
      </c>
      <c r="I183" s="7" t="s">
        <v>54</v>
      </c>
      <c r="J183" s="5">
        <v>3042.65</v>
      </c>
      <c r="K183" s="22">
        <f>IF(AND(H183&gt;0,J183&gt;0),(J183-H183)/H183,"")</f>
        <v>0.20717564581209075</v>
      </c>
      <c r="L183" s="5"/>
      <c r="M183" s="8" t="str">
        <f>IF(AND(J183&gt;0,L183&gt;0),(L183-J183)/J183,IF(AND(H183&gt;0,L183&gt;0),(L183-H183)/H183,""))</f>
        <v/>
      </c>
      <c r="N183" s="6">
        <v>46105</v>
      </c>
      <c r="O183" s="5">
        <v>3141.29</v>
      </c>
      <c r="P183" s="24">
        <f>IF(AND(L183&gt;0,O183&gt;0),(O183-L183)/L183,"")</f>
        <v>0.032419108343056176</v>
      </c>
      <c r="Q183" s="9">
        <v>21</v>
      </c>
      <c r="R183" s="9">
        <v>22</v>
      </c>
      <c r="S183" s="9">
        <f>IF(N183&gt;0,TODAY()-N183,"")</f>
        <v>6</v>
      </c>
    </row>
    <row r="184" ht="17" customHeight="1" spans="1:19" x14ac:dyDescent="0.25">
      <c r="A184" s="11" t="s">
        <v>20</v>
      </c>
      <c r="B184" s="11" t="s">
        <v>117</v>
      </c>
      <c r="C184" s="11" t="s">
        <v>388</v>
      </c>
      <c r="D184" s="11" t="s">
        <v>389</v>
      </c>
      <c r="E184" s="12">
        <v>130</v>
      </c>
      <c r="F184" s="13">
        <v>239.54703384615385</v>
      </c>
      <c r="G184" s="14">
        <v>45700</v>
      </c>
      <c r="H184" s="13">
        <v>215.76</v>
      </c>
      <c r="I184" s="15" t="s">
        <v>54</v>
      </c>
      <c r="J184" s="13">
        <v>257.13</v>
      </c>
      <c r="K184" s="20">
        <f>IF(AND(H184&gt;0,J184&gt;0),(J184-H184)/H184,"")</f>
        <v>0.19174082313681873</v>
      </c>
      <c r="L184" s="13">
        <v>260.07</v>
      </c>
      <c r="M184" s="17">
        <f>IF(AND(J184&gt;0,L184&gt;0),(L184-J184)/J184,IF(AND(H184&gt;0,L184&gt;0),(L184-H184)/H184,""))</f>
        <v>0.011433905028584754</v>
      </c>
      <c r="N184" s="14">
        <v>46105</v>
      </c>
      <c r="O184" s="13">
        <v>265.46</v>
      </c>
      <c r="P184" s="17">
        <f>IF(AND(L184&gt;0,O184&gt;0),(O184-L184)/L184,"")</f>
        <v>0.020725189372092077</v>
      </c>
      <c r="Q184" s="18">
        <v>27</v>
      </c>
      <c r="R184" s="18">
        <v>16</v>
      </c>
      <c r="S184" s="18">
        <f>IF(N184&gt;0,TODAY()-N184,"")</f>
        <v>6</v>
      </c>
    </row>
    <row r="185" ht="17" customHeight="1" spans="1:19" x14ac:dyDescent="0.25">
      <c r="A185" s="3" t="s">
        <v>20</v>
      </c>
      <c r="B185" s="3" t="s">
        <v>117</v>
      </c>
      <c r="C185" s="3" t="s">
        <v>390</v>
      </c>
      <c r="D185" s="3" t="s">
        <v>391</v>
      </c>
      <c r="E185" s="4">
        <v>14</v>
      </c>
      <c r="F185" s="5">
        <v>8608.864285714286</v>
      </c>
      <c r="G185" s="6">
        <v>45775</v>
      </c>
      <c r="H185" s="5">
        <v>7649.1</v>
      </c>
      <c r="I185" s="7" t="s">
        <v>24</v>
      </c>
      <c r="J185" s="5"/>
      <c r="K185" s="8" t="str">
        <f>IF(AND(H185&gt;0,J185&gt;0),(J185-H185)/H185,"")</f>
        <v/>
      </c>
      <c r="L185" s="5">
        <v>9716.87</v>
      </c>
      <c r="M185" s="23">
        <f>IF(AND(J185&gt;0,L185&gt;0),(L185-J185)/J185,IF(AND(H185&gt;0,L185&gt;0),(L185-H185)/H185,""))</f>
        <v>0.27032853538324775</v>
      </c>
      <c r="N185" s="6">
        <v>46107</v>
      </c>
      <c r="O185" s="5">
        <v>9911.43</v>
      </c>
      <c r="P185" s="24">
        <f>IF(AND(L185&gt;0,O185&gt;0),(O185-L185)/L185,"")</f>
        <v>0.020022908611517853</v>
      </c>
      <c r="Q185" s="9">
        <v>55</v>
      </c>
      <c r="R185" s="9">
        <v>7</v>
      </c>
      <c r="S185" s="9">
        <f>IF(N185&gt;0,TODAY()-N185,"")</f>
        <v>4</v>
      </c>
    </row>
    <row r="186" ht="17" customHeight="1" spans="1:19" x14ac:dyDescent="0.25">
      <c r="A186" s="11" t="s">
        <v>20</v>
      </c>
      <c r="B186" s="11" t="s">
        <v>117</v>
      </c>
      <c r="C186" s="11" t="s">
        <v>392</v>
      </c>
      <c r="D186" s="11" t="s">
        <v>393</v>
      </c>
      <c r="E186" s="12">
        <v>15</v>
      </c>
      <c r="F186" s="13">
        <v>13325.275333333333</v>
      </c>
      <c r="G186" s="14">
        <v>45897</v>
      </c>
      <c r="H186" s="13">
        <v>12383.33</v>
      </c>
      <c r="I186" s="15" t="s">
        <v>54</v>
      </c>
      <c r="J186" s="13">
        <v>13104.35</v>
      </c>
      <c r="K186" s="17">
        <f>IF(AND(H186&gt;0,J186&gt;0),(J186-H186)/H186,"")</f>
        <v>0.05822504932033633</v>
      </c>
      <c r="L186" s="13">
        <v>13547.35</v>
      </c>
      <c r="M186" s="17">
        <f>IF(AND(J186&gt;0,L186&gt;0),(L186-J186)/J186,IF(AND(H186&gt;0,L186&gt;0),(L186-H186)/H186,""))</f>
        <v>0.03380556837996543</v>
      </c>
      <c r="N186" s="14">
        <v>46107</v>
      </c>
      <c r="O186" s="13">
        <v>13816.92</v>
      </c>
      <c r="P186" s="17">
        <f>IF(AND(L186&gt;0,O186&gt;0),(O186-L186)/L186,"")</f>
        <v>0.01989835650514674</v>
      </c>
      <c r="Q186" s="18">
        <v>35</v>
      </c>
      <c r="R186" s="18">
        <v>7</v>
      </c>
      <c r="S186" s="18">
        <f>IF(N186&gt;0,TODAY()-N186,"")</f>
        <v>4</v>
      </c>
    </row>
    <row r="187" ht="17" customHeight="1" spans="1:19" x14ac:dyDescent="0.25">
      <c r="A187" s="3" t="s">
        <v>20</v>
      </c>
      <c r="B187" s="3" t="s">
        <v>117</v>
      </c>
      <c r="C187" s="3" t="s">
        <v>394</v>
      </c>
      <c r="D187" s="3" t="s">
        <v>395</v>
      </c>
      <c r="E187" s="4">
        <v>8</v>
      </c>
      <c r="F187" s="5">
        <v>11506.0825</v>
      </c>
      <c r="G187" s="6">
        <v>45751</v>
      </c>
      <c r="H187" s="5">
        <v>11169.79</v>
      </c>
      <c r="I187" s="7" t="s">
        <v>24</v>
      </c>
      <c r="J187" s="5"/>
      <c r="K187" s="8" t="str">
        <f>IF(AND(H187&gt;0,J187&gt;0),(J187-H187)/H187,"")</f>
        <v/>
      </c>
      <c r="L187" s="5"/>
      <c r="M187" s="8" t="str">
        <f>IF(AND(J187&gt;0,L187&gt;0),(L187-J187)/J187,IF(AND(H187&gt;0,L187&gt;0),(L187-H187)/H187,""))</f>
        <v/>
      </c>
      <c r="N187" s="6">
        <v>45793</v>
      </c>
      <c r="O187" s="5">
        <v>13522.22</v>
      </c>
      <c r="P187" s="8" t="str">
        <f>IF(AND(L187&gt;0,O187&gt;0),(O187-L187)/L187,"")</f>
        <v/>
      </c>
      <c r="Q187" s="9">
        <v>21</v>
      </c>
      <c r="R187" s="9">
        <v>3</v>
      </c>
      <c r="S187" s="10">
        <f>IF(N187&gt;0,TODAY()-N187,"")</f>
        <v>318</v>
      </c>
    </row>
    <row r="188" ht="17" customHeight="1" spans="1:19" x14ac:dyDescent="0.25">
      <c r="A188" s="11" t="s">
        <v>20</v>
      </c>
      <c r="B188" s="11" t="s">
        <v>117</v>
      </c>
      <c r="C188" s="11" t="s">
        <v>396</v>
      </c>
      <c r="D188" s="11" t="s">
        <v>397</v>
      </c>
      <c r="E188" s="12">
        <v>2</v>
      </c>
      <c r="F188" s="13">
        <v>11608.431975</v>
      </c>
      <c r="G188" s="14">
        <v>45688</v>
      </c>
      <c r="H188" s="13">
        <v>11608.43</v>
      </c>
      <c r="I188" s="15" t="s">
        <v>24</v>
      </c>
      <c r="J188" s="13"/>
      <c r="K188" s="16" t="str">
        <f>IF(AND(H188&gt;0,J188&gt;0),(J188-H188)/H188,"")</f>
        <v/>
      </c>
      <c r="L188" s="13"/>
      <c r="M188" s="16" t="str">
        <f>IF(AND(J188&gt;0,L188&gt;0),(L188-J188)/J188,IF(AND(H188&gt;0,L188&gt;0),(L188-H188)/H188,""))</f>
        <v/>
      </c>
      <c r="N188" s="14">
        <v>45688</v>
      </c>
      <c r="O188" s="13">
        <v>11608.43</v>
      </c>
      <c r="P188" s="16" t="str">
        <f>IF(AND(L188&gt;0,O188&gt;0),(O188-L188)/L188,"")</f>
        <v/>
      </c>
      <c r="Q188" s="18"/>
      <c r="R188" s="18">
        <v>1</v>
      </c>
      <c r="S188" s="10">
        <f>IF(N188&gt;0,TODAY()-N188,"")</f>
        <v>423</v>
      </c>
    </row>
    <row r="189" ht="17" customHeight="1" spans="1:19" x14ac:dyDescent="0.25">
      <c r="A189" s="3" t="s">
        <v>20</v>
      </c>
      <c r="B189" s="3" t="s">
        <v>117</v>
      </c>
      <c r="C189" s="3" t="s">
        <v>398</v>
      </c>
      <c r="D189" s="3" t="s">
        <v>399</v>
      </c>
      <c r="E189" s="4">
        <v>300</v>
      </c>
      <c r="F189" s="5">
        <v>1.25</v>
      </c>
      <c r="G189" s="6">
        <v>45776</v>
      </c>
      <c r="H189" s="5">
        <v>1.25</v>
      </c>
      <c r="I189" s="7" t="s">
        <v>24</v>
      </c>
      <c r="J189" s="5"/>
      <c r="K189" s="8" t="str">
        <f>IF(AND(H189&gt;0,J189&gt;0),(J189-H189)/H189,"")</f>
        <v/>
      </c>
      <c r="L189" s="5"/>
      <c r="M189" s="8" t="str">
        <f>IF(AND(J189&gt;0,L189&gt;0),(L189-J189)/J189,IF(AND(H189&gt;0,L189&gt;0),(L189-H189)/H189,""))</f>
        <v/>
      </c>
      <c r="N189" s="6">
        <v>45776</v>
      </c>
      <c r="O189" s="5">
        <v>1.25</v>
      </c>
      <c r="P189" s="8" t="str">
        <f>IF(AND(L189&gt;0,O189&gt;0),(O189-L189)/L189,"")</f>
        <v/>
      </c>
      <c r="Q189" s="9"/>
      <c r="R189" s="9">
        <v>1</v>
      </c>
      <c r="S189" s="10">
        <f>IF(N189&gt;0,TODAY()-N189,"")</f>
        <v>335</v>
      </c>
    </row>
    <row r="190" ht="17" customHeight="1" spans="1:19" x14ac:dyDescent="0.25">
      <c r="A190" s="11" t="s">
        <v>20</v>
      </c>
      <c r="B190" s="11" t="s">
        <v>117</v>
      </c>
      <c r="C190" s="11" t="s">
        <v>400</v>
      </c>
      <c r="D190" s="11" t="s">
        <v>401</v>
      </c>
      <c r="E190" s="12">
        <v>400</v>
      </c>
      <c r="F190" s="13">
        <v>0.851625</v>
      </c>
      <c r="G190" s="14">
        <v>45775</v>
      </c>
      <c r="H190" s="13">
        <v>0.61</v>
      </c>
      <c r="I190" s="15" t="s">
        <v>24</v>
      </c>
      <c r="J190" s="13"/>
      <c r="K190" s="16" t="str">
        <f>IF(AND(H190&gt;0,J190&gt;0),(J190-H190)/H190,"")</f>
        <v/>
      </c>
      <c r="L190" s="13">
        <v>1.06</v>
      </c>
      <c r="M190" s="23">
        <f>IF(AND(J190&gt;0,L190&gt;0),(L190-J190)/J190,IF(AND(H190&gt;0,L190&gt;0),(L190-H190)/H190,""))</f>
        <v>0.737704918032787</v>
      </c>
      <c r="N190" s="14">
        <v>46072</v>
      </c>
      <c r="O190" s="13">
        <v>1.13</v>
      </c>
      <c r="P190" s="17">
        <f>IF(AND(L190&gt;0,O190&gt;0),(O190-L190)/L190,"")</f>
        <v>0.06603773584905645</v>
      </c>
      <c r="Q190" s="18">
        <v>149</v>
      </c>
      <c r="R190" s="18">
        <v>3</v>
      </c>
      <c r="S190" s="18">
        <f>IF(N190&gt;0,TODAY()-N190,"")</f>
        <v>39</v>
      </c>
    </row>
    <row r="191" ht="17" customHeight="1" spans="1:19" x14ac:dyDescent="0.25">
      <c r="A191" s="3" t="s">
        <v>20</v>
      </c>
      <c r="B191" s="3" t="s">
        <v>117</v>
      </c>
      <c r="C191" s="3" t="s">
        <v>402</v>
      </c>
      <c r="D191" s="3" t="s">
        <v>403</v>
      </c>
      <c r="E191" s="4">
        <v>1000</v>
      </c>
      <c r="F191" s="5">
        <v>0.26</v>
      </c>
      <c r="G191" s="6">
        <v>46038</v>
      </c>
      <c r="H191" s="5">
        <v>0.26</v>
      </c>
      <c r="I191" s="7" t="s">
        <v>24</v>
      </c>
      <c r="J191" s="5"/>
      <c r="K191" s="8" t="str">
        <f>IF(AND(H191&gt;0,J191&gt;0),(J191-H191)/H191,"")</f>
        <v/>
      </c>
      <c r="L191" s="5">
        <v>0.26</v>
      </c>
      <c r="M191" s="24">
        <f>IF(AND(J191&gt;0,L191&gt;0),(L191-J191)/J191,IF(AND(H191&gt;0,L191&gt;0),(L191-H191)/H191,""))</f>
        <v>0</v>
      </c>
      <c r="N191" s="6">
        <v>46038</v>
      </c>
      <c r="O191" s="5">
        <v>0.26</v>
      </c>
      <c r="P191" s="8" t="str">
        <f>IF(AND(L191&gt;0,O191&gt;0),(O191-L191)/L191,"")</f>
        <v/>
      </c>
      <c r="Q191" s="9"/>
      <c r="R191" s="9">
        <v>1</v>
      </c>
      <c r="S191" s="19">
        <f>IF(N191&gt;0,TODAY()-N191,"")</f>
        <v>73</v>
      </c>
    </row>
    <row r="192" ht="17" customHeight="1" spans="1:19" x14ac:dyDescent="0.25">
      <c r="A192" s="11" t="s">
        <v>20</v>
      </c>
      <c r="B192" s="11" t="s">
        <v>117</v>
      </c>
      <c r="C192" s="11" t="s">
        <v>404</v>
      </c>
      <c r="D192" s="11" t="s">
        <v>405</v>
      </c>
      <c r="E192" s="12">
        <v>500</v>
      </c>
      <c r="F192" s="13">
        <v>0.37</v>
      </c>
      <c r="G192" s="14">
        <v>46038</v>
      </c>
      <c r="H192" s="13">
        <v>0.37</v>
      </c>
      <c r="I192" s="15" t="s">
        <v>24</v>
      </c>
      <c r="J192" s="13"/>
      <c r="K192" s="16" t="str">
        <f>IF(AND(H192&gt;0,J192&gt;0),(J192-H192)/H192,"")</f>
        <v/>
      </c>
      <c r="L192" s="13">
        <v>0.37</v>
      </c>
      <c r="M192" s="17">
        <f>IF(AND(J192&gt;0,L192&gt;0),(L192-J192)/J192,IF(AND(H192&gt;0,L192&gt;0),(L192-H192)/H192,""))</f>
        <v>0</v>
      </c>
      <c r="N192" s="14">
        <v>46038</v>
      </c>
      <c r="O192" s="13">
        <v>0.37</v>
      </c>
      <c r="P192" s="16" t="str">
        <f>IF(AND(L192&gt;0,O192&gt;0),(O192-L192)/L192,"")</f>
        <v/>
      </c>
      <c r="Q192" s="18"/>
      <c r="R192" s="18">
        <v>1</v>
      </c>
      <c r="S192" s="19">
        <f>IF(N192&gt;0,TODAY()-N192,"")</f>
        <v>73</v>
      </c>
    </row>
    <row r="193" ht="17" customHeight="1" spans="1:19" x14ac:dyDescent="0.25">
      <c r="A193" s="3" t="s">
        <v>20</v>
      </c>
      <c r="B193" s="3" t="s">
        <v>117</v>
      </c>
      <c r="C193" s="3" t="s">
        <v>406</v>
      </c>
      <c r="D193" s="3" t="s">
        <v>407</v>
      </c>
      <c r="E193" s="4">
        <v>500</v>
      </c>
      <c r="F193" s="5">
        <v>0.61</v>
      </c>
      <c r="G193" s="6">
        <v>46038</v>
      </c>
      <c r="H193" s="5">
        <v>0.61</v>
      </c>
      <c r="I193" s="7" t="s">
        <v>24</v>
      </c>
      <c r="J193" s="5"/>
      <c r="K193" s="8" t="str">
        <f>IF(AND(H193&gt;0,J193&gt;0),(J193-H193)/H193,"")</f>
        <v/>
      </c>
      <c r="L193" s="5">
        <v>0.61</v>
      </c>
      <c r="M193" s="24">
        <f>IF(AND(J193&gt;0,L193&gt;0),(L193-J193)/J193,IF(AND(H193&gt;0,L193&gt;0),(L193-H193)/H193,""))</f>
        <v>0</v>
      </c>
      <c r="N193" s="6">
        <v>46038</v>
      </c>
      <c r="O193" s="5">
        <v>0.61</v>
      </c>
      <c r="P193" s="8" t="str">
        <f>IF(AND(L193&gt;0,O193&gt;0),(O193-L193)/L193,"")</f>
        <v/>
      </c>
      <c r="Q193" s="9"/>
      <c r="R193" s="9">
        <v>1</v>
      </c>
      <c r="S193" s="19">
        <f>IF(N193&gt;0,TODAY()-N193,"")</f>
        <v>73</v>
      </c>
    </row>
    <row r="194" ht="17" customHeight="1" spans="1:19" x14ac:dyDescent="0.25">
      <c r="A194" s="11" t="s">
        <v>20</v>
      </c>
      <c r="B194" s="11" t="s">
        <v>117</v>
      </c>
      <c r="C194" s="11" t="s">
        <v>408</v>
      </c>
      <c r="D194" s="11" t="s">
        <v>409</v>
      </c>
      <c r="E194" s="12">
        <v>1250</v>
      </c>
      <c r="F194" s="13">
        <v>0.67</v>
      </c>
      <c r="G194" s="14">
        <v>45775</v>
      </c>
      <c r="H194" s="13">
        <v>0.5</v>
      </c>
      <c r="I194" s="15" t="s">
        <v>24</v>
      </c>
      <c r="J194" s="13"/>
      <c r="K194" s="16" t="str">
        <f>IF(AND(H194&gt;0,J194&gt;0),(J194-H194)/H194,"")</f>
        <v/>
      </c>
      <c r="L194" s="13">
        <v>0.85</v>
      </c>
      <c r="M194" s="23">
        <f>IF(AND(J194&gt;0,L194&gt;0),(L194-J194)/J194,IF(AND(H194&gt;0,L194&gt;0),(L194-H194)/H194,""))</f>
        <v>0.7</v>
      </c>
      <c r="N194" s="14">
        <v>46072</v>
      </c>
      <c r="O194" s="13">
        <v>0.9</v>
      </c>
      <c r="P194" s="17">
        <f>IF(AND(L194&gt;0,O194&gt;0),(O194-L194)/L194,"")</f>
        <v>0.05882352941176476</v>
      </c>
      <c r="Q194" s="18">
        <v>99</v>
      </c>
      <c r="R194" s="18">
        <v>4</v>
      </c>
      <c r="S194" s="18">
        <f>IF(N194&gt;0,TODAY()-N194,"")</f>
        <v>39</v>
      </c>
    </row>
    <row r="195" ht="17" customHeight="1" spans="1:19" x14ac:dyDescent="0.25">
      <c r="A195" s="3" t="s">
        <v>20</v>
      </c>
      <c r="B195" s="3" t="s">
        <v>117</v>
      </c>
      <c r="C195" s="3" t="s">
        <v>410</v>
      </c>
      <c r="D195" s="3" t="s">
        <v>411</v>
      </c>
      <c r="E195" s="4">
        <v>191</v>
      </c>
      <c r="F195" s="5">
        <v>43.58821989528796</v>
      </c>
      <c r="G195" s="6">
        <v>45789</v>
      </c>
      <c r="H195" s="5">
        <v>33</v>
      </c>
      <c r="I195" s="7" t="s">
        <v>24</v>
      </c>
      <c r="J195" s="5"/>
      <c r="K195" s="8" t="str">
        <f>IF(AND(H195&gt;0,J195&gt;0),(J195-H195)/H195,"")</f>
        <v/>
      </c>
      <c r="L195" s="5">
        <v>34.85</v>
      </c>
      <c r="M195" s="24">
        <f>IF(AND(J195&gt;0,L195&gt;0),(L195-J195)/J195,IF(AND(H195&gt;0,L195&gt;0),(L195-H195)/H195,""))</f>
        <v>0.0560606060606061</v>
      </c>
      <c r="N195" s="6">
        <v>46072</v>
      </c>
      <c r="O195" s="5">
        <v>45.3</v>
      </c>
      <c r="P195" s="23">
        <f>IF(AND(L195&gt;0,O195&gt;0),(O195-L195)/L195,"")</f>
        <v>0.2998565279770443</v>
      </c>
      <c r="Q195" s="9">
        <v>94</v>
      </c>
      <c r="R195" s="9">
        <v>4</v>
      </c>
      <c r="S195" s="9">
        <f>IF(N195&gt;0,TODAY()-N195,"")</f>
        <v>39</v>
      </c>
    </row>
    <row r="196" ht="17" customHeight="1" spans="1:19" x14ac:dyDescent="0.25">
      <c r="A196" s="11" t="s">
        <v>20</v>
      </c>
      <c r="B196" s="11" t="s">
        <v>117</v>
      </c>
      <c r="C196" s="11" t="s">
        <v>412</v>
      </c>
      <c r="D196" s="11" t="s">
        <v>413</v>
      </c>
      <c r="E196" s="12">
        <v>160</v>
      </c>
      <c r="F196" s="13">
        <v>56.5625</v>
      </c>
      <c r="G196" s="14">
        <v>45789</v>
      </c>
      <c r="H196" s="13">
        <v>42.5</v>
      </c>
      <c r="I196" s="15" t="s">
        <v>24</v>
      </c>
      <c r="J196" s="13"/>
      <c r="K196" s="16" t="str">
        <f>IF(AND(H196&gt;0,J196&gt;0),(J196-H196)/H196,"")</f>
        <v/>
      </c>
      <c r="L196" s="13"/>
      <c r="M196" s="16" t="str">
        <f>IF(AND(J196&gt;0,L196&gt;0),(L196-J196)/J196,IF(AND(H196&gt;0,L196&gt;0),(L196-H196)/H196,""))</f>
        <v/>
      </c>
      <c r="N196" s="14">
        <v>46072</v>
      </c>
      <c r="O196" s="13">
        <v>55</v>
      </c>
      <c r="P196" s="23">
        <f>IF(AND(L196&gt;0,O196&gt;0),(O196-L196)/L196,"")</f>
        <v>0.29411764705882354</v>
      </c>
      <c r="Q196" s="18">
        <v>142</v>
      </c>
      <c r="R196" s="18">
        <v>3</v>
      </c>
      <c r="S196" s="18">
        <f>IF(N196&gt;0,TODAY()-N196,"")</f>
        <v>39</v>
      </c>
    </row>
    <row r="197" ht="17" customHeight="1" spans="1:19" x14ac:dyDescent="0.25">
      <c r="A197" s="3" t="s">
        <v>20</v>
      </c>
      <c r="B197" s="3" t="s">
        <v>117</v>
      </c>
      <c r="C197" s="3" t="s">
        <v>414</v>
      </c>
      <c r="D197" s="3" t="s">
        <v>415</v>
      </c>
      <c r="E197" s="4">
        <v>135</v>
      </c>
      <c r="F197" s="5">
        <v>1426.4662962962964</v>
      </c>
      <c r="G197" s="6">
        <v>45684</v>
      </c>
      <c r="H197" s="5">
        <v>1260</v>
      </c>
      <c r="I197" s="7" t="s">
        <v>57</v>
      </c>
      <c r="J197" s="5">
        <v>1522.8</v>
      </c>
      <c r="K197" s="22">
        <f>IF(AND(H197&gt;0,J197&gt;0),(J197-H197)/H197,"")</f>
        <v>0.20857142857142855</v>
      </c>
      <c r="L197" s="5">
        <v>1505.93</v>
      </c>
      <c r="M197" s="26">
        <f>IF(AND(J197&gt;0,L197&gt;0),(L197-J197)/J197,IF(AND(H197&gt;0,L197&gt;0),(L197-H197)/H197,""))</f>
        <v>-0.011078276858418633</v>
      </c>
      <c r="N197" s="6">
        <v>46094</v>
      </c>
      <c r="O197" s="5">
        <v>1535.25</v>
      </c>
      <c r="P197" s="24">
        <f>IF(AND(L197&gt;0,O197&gt;0),(O197-L197)/L197,"")</f>
        <v>0.019469696466635194</v>
      </c>
      <c r="Q197" s="9">
        <v>34</v>
      </c>
      <c r="R197" s="9">
        <v>13</v>
      </c>
      <c r="S197" s="9">
        <f>IF(N197&gt;0,TODAY()-N197,"")</f>
        <v>17</v>
      </c>
    </row>
    <row r="198" ht="17" customHeight="1" spans="1:19" x14ac:dyDescent="0.25">
      <c r="A198" s="11" t="s">
        <v>20</v>
      </c>
      <c r="B198" s="11" t="s">
        <v>117</v>
      </c>
      <c r="C198" s="11" t="s">
        <v>416</v>
      </c>
      <c r="D198" s="11" t="s">
        <v>417</v>
      </c>
      <c r="E198" s="12">
        <v>30</v>
      </c>
      <c r="F198" s="13">
        <v>4429.7283333333335</v>
      </c>
      <c r="G198" s="14">
        <v>45761</v>
      </c>
      <c r="H198" s="13">
        <v>5164.86</v>
      </c>
      <c r="I198" s="15" t="s">
        <v>24</v>
      </c>
      <c r="J198" s="13"/>
      <c r="K198" s="16" t="str">
        <f>IF(AND(H198&gt;0,J198&gt;0),(J198-H198)/H198,"")</f>
        <v/>
      </c>
      <c r="L198" s="13"/>
      <c r="M198" s="16" t="str">
        <f>IF(AND(J198&gt;0,L198&gt;0),(L198-J198)/J198,IF(AND(H198&gt;0,L198&gt;0),(L198-H198)/H198,""))</f>
        <v/>
      </c>
      <c r="N198" s="14">
        <v>45811</v>
      </c>
      <c r="O198" s="13">
        <v>2959.47</v>
      </c>
      <c r="P198" s="16" t="str">
        <f>IF(AND(L198&gt;0,O198&gt;0),(O198-L198)/L198,"")</f>
        <v/>
      </c>
      <c r="Q198" s="18">
        <v>50</v>
      </c>
      <c r="R198" s="18">
        <v>2</v>
      </c>
      <c r="S198" s="10">
        <f>IF(N198&gt;0,TODAY()-N198,"")</f>
        <v>300</v>
      </c>
    </row>
    <row r="199" ht="17" customHeight="1" spans="1:19" x14ac:dyDescent="0.25">
      <c r="A199" s="3" t="s">
        <v>20</v>
      </c>
      <c r="B199" s="3" t="s">
        <v>117</v>
      </c>
      <c r="C199" s="3" t="s">
        <v>418</v>
      </c>
      <c r="D199" s="3" t="s">
        <v>419</v>
      </c>
      <c r="E199" s="4">
        <v>120</v>
      </c>
      <c r="F199" s="5">
        <v>328.86800000000005</v>
      </c>
      <c r="G199" s="6">
        <v>45729</v>
      </c>
      <c r="H199" s="5">
        <v>290</v>
      </c>
      <c r="I199" s="7" t="s">
        <v>24</v>
      </c>
      <c r="J199" s="5"/>
      <c r="K199" s="8" t="str">
        <f>IF(AND(H199&gt;0,J199&gt;0),(J199-H199)/H199,"")</f>
        <v/>
      </c>
      <c r="L199" s="5">
        <v>367.25</v>
      </c>
      <c r="M199" s="23">
        <f>IF(AND(J199&gt;0,L199&gt;0),(L199-J199)/J199,IF(AND(H199&gt;0,L199&gt;0),(L199-H199)/H199,""))</f>
        <v>0.2663793103448276</v>
      </c>
      <c r="N199" s="6">
        <v>46043</v>
      </c>
      <c r="O199" s="5">
        <v>367.25</v>
      </c>
      <c r="P199" s="8" t="str">
        <f>IF(AND(L199&gt;0,O199&gt;0),(O199-L199)/L199,"")</f>
        <v/>
      </c>
      <c r="Q199" s="9">
        <v>157</v>
      </c>
      <c r="R199" s="9">
        <v>3</v>
      </c>
      <c r="S199" s="19">
        <f>IF(N199&gt;0,TODAY()-N199,"")</f>
        <v>68</v>
      </c>
    </row>
    <row r="200" ht="17" customHeight="1" spans="1:19" x14ac:dyDescent="0.25">
      <c r="A200" s="11" t="s">
        <v>20</v>
      </c>
      <c r="B200" s="11" t="s">
        <v>117</v>
      </c>
      <c r="C200" s="11" t="s">
        <v>420</v>
      </c>
      <c r="D200" s="11" t="s">
        <v>421</v>
      </c>
      <c r="E200" s="12">
        <v>153</v>
      </c>
      <c r="F200" s="13">
        <v>1347.3877968496731</v>
      </c>
      <c r="G200" s="14">
        <v>45702</v>
      </c>
      <c r="H200" s="13">
        <v>1596.95</v>
      </c>
      <c r="I200" s="15" t="s">
        <v>54</v>
      </c>
      <c r="J200" s="13">
        <v>1113.98</v>
      </c>
      <c r="K200" s="25">
        <f>IF(AND(H200&gt;0,J200&gt;0),(J200-H200)/H200,"")</f>
        <v>-0.3024327624534269</v>
      </c>
      <c r="L200" s="13"/>
      <c r="M200" s="16" t="str">
        <f>IF(AND(J200&gt;0,L200&gt;0),(L200-J200)/J200,IF(AND(H200&gt;0,L200&gt;0),(L200-H200)/H200,""))</f>
        <v/>
      </c>
      <c r="N200" s="14">
        <v>46111</v>
      </c>
      <c r="O200" s="13">
        <v>1924</v>
      </c>
      <c r="P200" s="23">
        <f>IF(AND(L200&gt;0,O200&gt;0),(O200-L200)/L200,"")</f>
        <v>0.7271405231691772</v>
      </c>
      <c r="Q200" s="18">
        <v>27</v>
      </c>
      <c r="R200" s="18">
        <v>16</v>
      </c>
      <c r="S200" s="18">
        <f>IF(N200&gt;0,TODAY()-N200,"")</f>
        <v>0</v>
      </c>
    </row>
    <row r="201" ht="17" customHeight="1" spans="1:19" x14ac:dyDescent="0.25">
      <c r="A201" s="3" t="s">
        <v>20</v>
      </c>
      <c r="B201" s="3" t="s">
        <v>117</v>
      </c>
      <c r="C201" s="3" t="s">
        <v>422</v>
      </c>
      <c r="D201" s="3" t="s">
        <v>423</v>
      </c>
      <c r="E201" s="4">
        <v>6</v>
      </c>
      <c r="F201" s="5">
        <v>1015.3816666666667</v>
      </c>
      <c r="G201" s="6">
        <v>45722</v>
      </c>
      <c r="H201" s="5">
        <v>895.41</v>
      </c>
      <c r="I201" s="7" t="s">
        <v>24</v>
      </c>
      <c r="J201" s="5"/>
      <c r="K201" s="8" t="str">
        <f>IF(AND(H201&gt;0,J201&gt;0),(J201-H201)/H201,"")</f>
        <v/>
      </c>
      <c r="L201" s="5"/>
      <c r="M201" s="8" t="str">
        <f>IF(AND(J201&gt;0,L201&gt;0),(L201-J201)/J201,IF(AND(H201&gt;0,L201&gt;0),(L201-H201)/H201,""))</f>
        <v/>
      </c>
      <c r="N201" s="6">
        <v>45875</v>
      </c>
      <c r="O201" s="5">
        <v>1135.36</v>
      </c>
      <c r="P201" s="8" t="str">
        <f>IF(AND(L201&gt;0,O201&gt;0),(O201-L201)/L201,"")</f>
        <v/>
      </c>
      <c r="Q201" s="9">
        <v>153</v>
      </c>
      <c r="R201" s="9">
        <v>2</v>
      </c>
      <c r="S201" s="10">
        <f>IF(N201&gt;0,TODAY()-N201,"")</f>
        <v>236</v>
      </c>
    </row>
    <row r="202" ht="17" customHeight="1" spans="1:19" x14ac:dyDescent="0.25">
      <c r="A202" s="11" t="s">
        <v>20</v>
      </c>
      <c r="B202" s="11" t="s">
        <v>117</v>
      </c>
      <c r="C202" s="11" t="s">
        <v>424</v>
      </c>
      <c r="D202" s="11" t="s">
        <v>425</v>
      </c>
      <c r="E202" s="12">
        <v>51</v>
      </c>
      <c r="F202" s="13">
        <v>712.7183333333334</v>
      </c>
      <c r="G202" s="14">
        <v>45701</v>
      </c>
      <c r="H202" s="13">
        <v>603.2</v>
      </c>
      <c r="I202" s="15" t="s">
        <v>24</v>
      </c>
      <c r="J202" s="13"/>
      <c r="K202" s="16" t="str">
        <f>IF(AND(H202&gt;0,J202&gt;0),(J202-H202)/H202,"")</f>
        <v/>
      </c>
      <c r="L202" s="13"/>
      <c r="M202" s="16" t="str">
        <f>IF(AND(J202&gt;0,L202&gt;0),(L202-J202)/J202,IF(AND(H202&gt;0,L202&gt;0),(L202-H202)/H202,""))</f>
        <v/>
      </c>
      <c r="N202" s="14">
        <v>46058</v>
      </c>
      <c r="O202" s="13">
        <v>856.52</v>
      </c>
      <c r="P202" s="23">
        <f>IF(AND(L202&gt;0,O202&gt;0),(O202-L202)/L202,"")</f>
        <v>0.41996021220159135</v>
      </c>
      <c r="Q202" s="18">
        <v>60</v>
      </c>
      <c r="R202" s="18">
        <v>7</v>
      </c>
      <c r="S202" s="18">
        <f>IF(N202&gt;0,TODAY()-N202,"")</f>
        <v>53</v>
      </c>
    </row>
    <row r="203" ht="17" customHeight="1" spans="1:19" x14ac:dyDescent="0.25">
      <c r="A203" s="3" t="s">
        <v>20</v>
      </c>
      <c r="B203" s="3" t="s">
        <v>117</v>
      </c>
      <c r="C203" s="3" t="s">
        <v>426</v>
      </c>
      <c r="D203" s="3" t="s">
        <v>427</v>
      </c>
      <c r="E203" s="4">
        <v>800</v>
      </c>
      <c r="F203" s="5">
        <v>12.21565</v>
      </c>
      <c r="G203" s="6">
        <v>45684</v>
      </c>
      <c r="H203" s="5">
        <v>9.28</v>
      </c>
      <c r="I203" s="7" t="s">
        <v>60</v>
      </c>
      <c r="J203" s="5">
        <v>13.08</v>
      </c>
      <c r="K203" s="23">
        <f>IF(AND(H203&gt;0,J203&gt;0),(J203-H203)/H203,"")</f>
        <v>0.4094827586206897</v>
      </c>
      <c r="L203" s="5"/>
      <c r="M203" s="8" t="str">
        <f>IF(AND(J203&gt;0,L203&gt;0),(L203-J203)/J203,IF(AND(H203&gt;0,L203&gt;0),(L203-H203)/H203,""))</f>
        <v/>
      </c>
      <c r="N203" s="6">
        <v>46072</v>
      </c>
      <c r="O203" s="5">
        <v>15.21</v>
      </c>
      <c r="P203" s="22">
        <f>IF(AND(L203&gt;0,O203&gt;0),(O203-L203)/L203,"")</f>
        <v>0.16284403669724776</v>
      </c>
      <c r="Q203" s="9">
        <v>65</v>
      </c>
      <c r="R203" s="9">
        <v>7</v>
      </c>
      <c r="S203" s="9">
        <f>IF(N203&gt;0,TODAY()-N203,"")</f>
        <v>39</v>
      </c>
    </row>
    <row r="204" ht="17" customHeight="1" spans="1:19" x14ac:dyDescent="0.25">
      <c r="A204" s="11" t="s">
        <v>20</v>
      </c>
      <c r="B204" s="11" t="s">
        <v>117</v>
      </c>
      <c r="C204" s="11" t="s">
        <v>428</v>
      </c>
      <c r="D204" s="11" t="s">
        <v>429</v>
      </c>
      <c r="E204" s="12">
        <v>100</v>
      </c>
      <c r="F204" s="13">
        <v>19.07</v>
      </c>
      <c r="G204" s="14">
        <v>45713</v>
      </c>
      <c r="H204" s="13">
        <v>19.07</v>
      </c>
      <c r="I204" s="15" t="s">
        <v>24</v>
      </c>
      <c r="J204" s="13"/>
      <c r="K204" s="16" t="str">
        <f>IF(AND(H204&gt;0,J204&gt;0),(J204-H204)/H204,"")</f>
        <v/>
      </c>
      <c r="L204" s="13"/>
      <c r="M204" s="16" t="str">
        <f>IF(AND(J204&gt;0,L204&gt;0),(L204-J204)/J204,IF(AND(H204&gt;0,L204&gt;0),(L204-H204)/H204,""))</f>
        <v/>
      </c>
      <c r="N204" s="14">
        <v>45713</v>
      </c>
      <c r="O204" s="13">
        <v>19.07</v>
      </c>
      <c r="P204" s="16" t="str">
        <f>IF(AND(L204&gt;0,O204&gt;0),(O204-L204)/L204,"")</f>
        <v/>
      </c>
      <c r="Q204" s="18"/>
      <c r="R204" s="18">
        <v>1</v>
      </c>
      <c r="S204" s="10">
        <f>IF(N204&gt;0,TODAY()-N204,"")</f>
        <v>398</v>
      </c>
    </row>
    <row r="205" ht="17" customHeight="1" spans="1:19" x14ac:dyDescent="0.25">
      <c r="A205" s="3" t="s">
        <v>20</v>
      </c>
      <c r="B205" s="3" t="s">
        <v>430</v>
      </c>
      <c r="C205" s="3" t="s">
        <v>431</v>
      </c>
      <c r="D205" s="3" t="s">
        <v>432</v>
      </c>
      <c r="E205" s="4">
        <v>9</v>
      </c>
      <c r="F205" s="5">
        <v>202.19222222222223</v>
      </c>
      <c r="G205" s="6">
        <v>45819</v>
      </c>
      <c r="H205" s="5">
        <v>171.08</v>
      </c>
      <c r="I205" s="7" t="s">
        <v>24</v>
      </c>
      <c r="J205" s="5"/>
      <c r="K205" s="8" t="str">
        <f>IF(AND(H205&gt;0,J205&gt;0),(J205-H205)/H205,"")</f>
        <v/>
      </c>
      <c r="L205" s="5">
        <v>224.22</v>
      </c>
      <c r="M205" s="23">
        <f>IF(AND(J205&gt;0,L205&gt;0),(L205-J205)/J205,IF(AND(H205&gt;0,L205&gt;0),(L205-H205)/H205,""))</f>
        <v>0.3106149169978956</v>
      </c>
      <c r="N205" s="6">
        <v>46048</v>
      </c>
      <c r="O205" s="5">
        <v>224.22</v>
      </c>
      <c r="P205" s="8" t="str">
        <f>IF(AND(L205&gt;0,O205&gt;0),(O205-L205)/L205,"")</f>
        <v/>
      </c>
      <c r="Q205" s="9">
        <v>115</v>
      </c>
      <c r="R205" s="9">
        <v>3</v>
      </c>
      <c r="S205" s="19">
        <f>IF(N205&gt;0,TODAY()-N205,"")</f>
        <v>63</v>
      </c>
    </row>
    <row r="206" ht="17" customHeight="1" spans="1:19" x14ac:dyDescent="0.25">
      <c r="A206" s="11" t="s">
        <v>20</v>
      </c>
      <c r="B206" s="11" t="s">
        <v>430</v>
      </c>
      <c r="C206" s="11" t="s">
        <v>433</v>
      </c>
      <c r="D206" s="11" t="s">
        <v>434</v>
      </c>
      <c r="E206" s="12">
        <v>9</v>
      </c>
      <c r="F206" s="13">
        <v>489.47888888888883</v>
      </c>
      <c r="G206" s="14">
        <v>45819</v>
      </c>
      <c r="H206" s="13">
        <v>406.65</v>
      </c>
      <c r="I206" s="15" t="s">
        <v>24</v>
      </c>
      <c r="J206" s="13"/>
      <c r="K206" s="16" t="str">
        <f>IF(AND(H206&gt;0,J206&gt;0),(J206-H206)/H206,"")</f>
        <v/>
      </c>
      <c r="L206" s="13">
        <v>548.94</v>
      </c>
      <c r="M206" s="23">
        <f>IF(AND(J206&gt;0,L206&gt;0),(L206-J206)/J206,IF(AND(H206&gt;0,L206&gt;0),(L206-H206)/H206,""))</f>
        <v>0.34990778310586523</v>
      </c>
      <c r="N206" s="14">
        <v>46048</v>
      </c>
      <c r="O206" s="13">
        <v>548.94</v>
      </c>
      <c r="P206" s="16" t="str">
        <f>IF(AND(L206&gt;0,O206&gt;0),(O206-L206)/L206,"")</f>
        <v/>
      </c>
      <c r="Q206" s="18">
        <v>115</v>
      </c>
      <c r="R206" s="18">
        <v>3</v>
      </c>
      <c r="S206" s="19">
        <f>IF(N206&gt;0,TODAY()-N206,"")</f>
        <v>63</v>
      </c>
    </row>
    <row r="207" ht="17" customHeight="1" spans="1:19" x14ac:dyDescent="0.25">
      <c r="A207" s="3" t="s">
        <v>20</v>
      </c>
      <c r="B207" s="3" t="s">
        <v>430</v>
      </c>
      <c r="C207" s="3" t="s">
        <v>435</v>
      </c>
      <c r="D207" s="3" t="s">
        <v>436</v>
      </c>
      <c r="E207" s="4">
        <v>9</v>
      </c>
      <c r="F207" s="5">
        <v>102.80888888888889</v>
      </c>
      <c r="G207" s="6">
        <v>45819</v>
      </c>
      <c r="H207" s="5">
        <v>89.57</v>
      </c>
      <c r="I207" s="7" t="s">
        <v>24</v>
      </c>
      <c r="J207" s="5"/>
      <c r="K207" s="8" t="str">
        <f>IF(AND(H207&gt;0,J207&gt;0),(J207-H207)/H207,"")</f>
        <v/>
      </c>
      <c r="L207" s="5">
        <v>113.4</v>
      </c>
      <c r="M207" s="23">
        <f>IF(AND(J207&gt;0,L207&gt;0),(L207-J207)/J207,IF(AND(H207&gt;0,L207&gt;0),(L207-H207)/H207,""))</f>
        <v>0.26604890030144035</v>
      </c>
      <c r="N207" s="6">
        <v>46048</v>
      </c>
      <c r="O207" s="5">
        <v>113.4</v>
      </c>
      <c r="P207" s="8" t="str">
        <f>IF(AND(L207&gt;0,O207&gt;0),(O207-L207)/L207,"")</f>
        <v/>
      </c>
      <c r="Q207" s="9">
        <v>115</v>
      </c>
      <c r="R207" s="9">
        <v>3</v>
      </c>
      <c r="S207" s="19">
        <f>IF(N207&gt;0,TODAY()-N207,"")</f>
        <v>63</v>
      </c>
    </row>
    <row r="208" ht="17" customHeight="1" spans="1:19" x14ac:dyDescent="0.25">
      <c r="A208" s="11" t="s">
        <v>20</v>
      </c>
      <c r="B208" s="11" t="s">
        <v>430</v>
      </c>
      <c r="C208" s="11" t="s">
        <v>437</v>
      </c>
      <c r="D208" s="11" t="s">
        <v>438</v>
      </c>
      <c r="E208" s="12">
        <v>600</v>
      </c>
      <c r="F208" s="13">
        <v>41.5</v>
      </c>
      <c r="G208" s="14">
        <v>45785</v>
      </c>
      <c r="H208" s="13">
        <v>25</v>
      </c>
      <c r="I208" s="15" t="s">
        <v>60</v>
      </c>
      <c r="J208" s="13">
        <v>55</v>
      </c>
      <c r="K208" s="23">
        <f>IF(AND(H208&gt;0,J208&gt;0),(J208-H208)/H208,"")</f>
        <v>1.2</v>
      </c>
      <c r="L208" s="13">
        <v>60</v>
      </c>
      <c r="M208" s="17">
        <f>IF(AND(J208&gt;0,L208&gt;0),(L208-J208)/J208,IF(AND(H208&gt;0,L208&gt;0),(L208-H208)/H208,""))</f>
        <v>0.09090909090909091</v>
      </c>
      <c r="N208" s="14">
        <v>46094</v>
      </c>
      <c r="O208" s="13">
        <v>60</v>
      </c>
      <c r="P208" s="17">
        <f>IF(AND(L208&gt;0,O208&gt;0),(O208-L208)/L208,"")</f>
        <v>0</v>
      </c>
      <c r="Q208" s="18">
        <v>31</v>
      </c>
      <c r="R208" s="18">
        <v>11</v>
      </c>
      <c r="S208" s="18">
        <f>IF(N208&gt;0,TODAY()-N208,"")</f>
        <v>17</v>
      </c>
    </row>
    <row r="209" ht="17" customHeight="1" spans="1:19" x14ac:dyDescent="0.25">
      <c r="A209" s="3" t="s">
        <v>20</v>
      </c>
      <c r="B209" s="3" t="s">
        <v>430</v>
      </c>
      <c r="C209" s="3" t="s">
        <v>439</v>
      </c>
      <c r="D209" s="3" t="s">
        <v>440</v>
      </c>
      <c r="E209" s="4">
        <v>660</v>
      </c>
      <c r="F209" s="5">
        <v>27.045454545454547</v>
      </c>
      <c r="G209" s="6">
        <v>45714</v>
      </c>
      <c r="H209" s="5">
        <v>25</v>
      </c>
      <c r="I209" s="7" t="s">
        <v>60</v>
      </c>
      <c r="J209" s="5">
        <v>27.5</v>
      </c>
      <c r="K209" s="22">
        <f>IF(AND(H209&gt;0,J209&gt;0),(J209-H209)/H209,"")</f>
        <v>0.1</v>
      </c>
      <c r="L209" s="5"/>
      <c r="M209" s="8" t="str">
        <f>IF(AND(J209&gt;0,L209&gt;0),(L209-J209)/J209,IF(AND(H209&gt;0,L209&gt;0),(L209-H209)/H209,""))</f>
        <v/>
      </c>
      <c r="N209" s="6">
        <v>46057</v>
      </c>
      <c r="O209" s="5">
        <v>30</v>
      </c>
      <c r="P209" s="24">
        <f>IF(AND(L209&gt;0,O209&gt;0),(O209-L209)/L209,"")</f>
        <v>0.09090909090909091</v>
      </c>
      <c r="Q209" s="9">
        <v>172</v>
      </c>
      <c r="R209" s="9">
        <v>3</v>
      </c>
      <c r="S209" s="9">
        <f>IF(N209&gt;0,TODAY()-N209,"")</f>
        <v>54</v>
      </c>
    </row>
    <row r="210" ht="17" customHeight="1" spans="1:19" x14ac:dyDescent="0.25">
      <c r="A210" s="11" t="s">
        <v>20</v>
      </c>
      <c r="B210" s="11" t="s">
        <v>430</v>
      </c>
      <c r="C210" s="11" t="s">
        <v>441</v>
      </c>
      <c r="D210" s="11" t="s">
        <v>442</v>
      </c>
      <c r="E210" s="12">
        <v>100</v>
      </c>
      <c r="F210" s="13">
        <v>6</v>
      </c>
      <c r="G210" s="14">
        <v>45975</v>
      </c>
      <c r="H210" s="13">
        <v>6</v>
      </c>
      <c r="I210" s="15" t="s">
        <v>60</v>
      </c>
      <c r="J210" s="13">
        <v>6</v>
      </c>
      <c r="K210" s="17">
        <f>IF(AND(H210&gt;0,J210&gt;0),(J210-H210)/H210,"")</f>
        <v>0</v>
      </c>
      <c r="L210" s="13"/>
      <c r="M210" s="16" t="str">
        <f>IF(AND(J210&gt;0,L210&gt;0),(L210-J210)/J210,IF(AND(H210&gt;0,L210&gt;0),(L210-H210)/H210,""))</f>
        <v/>
      </c>
      <c r="N210" s="14">
        <v>45975</v>
      </c>
      <c r="O210" s="13">
        <v>6</v>
      </c>
      <c r="P210" s="16" t="str">
        <f>IF(AND(L210&gt;0,O210&gt;0),(O210-L210)/L210,"")</f>
        <v/>
      </c>
      <c r="Q210" s="18"/>
      <c r="R210" s="18">
        <v>1</v>
      </c>
      <c r="S210" s="21">
        <f>IF(N210&gt;0,TODAY()-N210,"")</f>
        <v>136</v>
      </c>
    </row>
    <row r="211" ht="17" customHeight="1" spans="1:19" x14ac:dyDescent="0.25">
      <c r="A211" s="3" t="s">
        <v>20</v>
      </c>
      <c r="B211" s="3" t="s">
        <v>430</v>
      </c>
      <c r="C211" s="3" t="s">
        <v>443</v>
      </c>
      <c r="D211" s="3" t="s">
        <v>444</v>
      </c>
      <c r="E211" s="4">
        <v>10</v>
      </c>
      <c r="F211" s="5">
        <v>1816</v>
      </c>
      <c r="G211" s="6">
        <v>45911</v>
      </c>
      <c r="H211" s="5">
        <v>1800</v>
      </c>
      <c r="I211" s="7" t="s">
        <v>60</v>
      </c>
      <c r="J211" s="5">
        <v>1800</v>
      </c>
      <c r="K211" s="24">
        <f>IF(AND(H211&gt;0,J211&gt;0),(J211-H211)/H211,"")</f>
        <v>0</v>
      </c>
      <c r="L211" s="5"/>
      <c r="M211" s="8" t="str">
        <f>IF(AND(J211&gt;0,L211&gt;0),(L211-J211)/J211,IF(AND(H211&gt;0,L211&gt;0),(L211-H211)/H211,""))</f>
        <v/>
      </c>
      <c r="N211" s="6">
        <v>46076</v>
      </c>
      <c r="O211" s="5">
        <v>1880</v>
      </c>
      <c r="P211" s="24">
        <f>IF(AND(L211&gt;0,O211&gt;0),(O211-L211)/L211,"")</f>
        <v>0.044444444444444446</v>
      </c>
      <c r="Q211" s="9">
        <v>55</v>
      </c>
      <c r="R211" s="9">
        <v>4</v>
      </c>
      <c r="S211" s="9">
        <f>IF(N211&gt;0,TODAY()-N211,"")</f>
        <v>35</v>
      </c>
    </row>
    <row r="212" ht="17" customHeight="1" spans="1:19" x14ac:dyDescent="0.25">
      <c r="A212" s="11" t="s">
        <v>20</v>
      </c>
      <c r="B212" s="11" t="s">
        <v>430</v>
      </c>
      <c r="C212" s="11" t="s">
        <v>445</v>
      </c>
      <c r="D212" s="11" t="s">
        <v>446</v>
      </c>
      <c r="E212" s="12">
        <v>3000</v>
      </c>
      <c r="F212" s="13">
        <v>0.3</v>
      </c>
      <c r="G212" s="14">
        <v>46062</v>
      </c>
      <c r="H212" s="13">
        <v>0.3</v>
      </c>
      <c r="I212" s="15" t="s">
        <v>24</v>
      </c>
      <c r="J212" s="13"/>
      <c r="K212" s="16" t="str">
        <f>IF(AND(H212&gt;0,J212&gt;0),(J212-H212)/H212,"")</f>
        <v/>
      </c>
      <c r="L212" s="13"/>
      <c r="M212" s="16" t="str">
        <f>IF(AND(J212&gt;0,L212&gt;0),(L212-J212)/J212,IF(AND(H212&gt;0,L212&gt;0),(L212-H212)/H212,""))</f>
        <v/>
      </c>
      <c r="N212" s="14">
        <v>46062</v>
      </c>
      <c r="O212" s="13">
        <v>0.3</v>
      </c>
      <c r="P212" s="17">
        <f>IF(AND(L212&gt;0,O212&gt;0),(O212-L212)/L212,"")</f>
        <v>0</v>
      </c>
      <c r="Q212" s="18"/>
      <c r="R212" s="18">
        <v>1</v>
      </c>
      <c r="S212" s="18">
        <f>IF(N212&gt;0,TODAY()-N212,"")</f>
        <v>49</v>
      </c>
    </row>
    <row r="213" ht="17" customHeight="1" spans="1:19" x14ac:dyDescent="0.25">
      <c r="A213" s="3" t="s">
        <v>20</v>
      </c>
      <c r="B213" s="3" t="s">
        <v>430</v>
      </c>
      <c r="C213" s="3" t="s">
        <v>447</v>
      </c>
      <c r="D213" s="3" t="s">
        <v>448</v>
      </c>
      <c r="E213" s="4">
        <v>200</v>
      </c>
      <c r="F213" s="5">
        <v>5.8</v>
      </c>
      <c r="G213" s="6">
        <v>46076</v>
      </c>
      <c r="H213" s="5">
        <v>5.8</v>
      </c>
      <c r="I213" s="7" t="s">
        <v>24</v>
      </c>
      <c r="J213" s="5"/>
      <c r="K213" s="8" t="str">
        <f>IF(AND(H213&gt;0,J213&gt;0),(J213-H213)/H213,"")</f>
        <v/>
      </c>
      <c r="L213" s="5"/>
      <c r="M213" s="8" t="str">
        <f>IF(AND(J213&gt;0,L213&gt;0),(L213-J213)/J213,IF(AND(H213&gt;0,L213&gt;0),(L213-H213)/H213,""))</f>
        <v/>
      </c>
      <c r="N213" s="6">
        <v>46076</v>
      </c>
      <c r="O213" s="5">
        <v>5.8</v>
      </c>
      <c r="P213" s="24">
        <f>IF(AND(L213&gt;0,O213&gt;0),(O213-L213)/L213,"")</f>
        <v>0</v>
      </c>
      <c r="Q213" s="9"/>
      <c r="R213" s="9">
        <v>1</v>
      </c>
      <c r="S213" s="9">
        <f>IF(N213&gt;0,TODAY()-N213,"")</f>
        <v>35</v>
      </c>
    </row>
    <row r="214" ht="17" customHeight="1" spans="1:19" x14ac:dyDescent="0.25">
      <c r="A214" s="11" t="s">
        <v>20</v>
      </c>
      <c r="B214" s="11" t="s">
        <v>430</v>
      </c>
      <c r="C214" s="11" t="s">
        <v>449</v>
      </c>
      <c r="D214" s="11" t="s">
        <v>450</v>
      </c>
      <c r="E214" s="12">
        <v>10</v>
      </c>
      <c r="F214" s="13">
        <v>30</v>
      </c>
      <c r="G214" s="14">
        <v>45915</v>
      </c>
      <c r="H214" s="13">
        <v>30</v>
      </c>
      <c r="I214" s="15" t="s">
        <v>24</v>
      </c>
      <c r="J214" s="13"/>
      <c r="K214" s="16" t="str">
        <f>IF(AND(H214&gt;0,J214&gt;0),(J214-H214)/H214,"")</f>
        <v/>
      </c>
      <c r="L214" s="13"/>
      <c r="M214" s="16" t="str">
        <f>IF(AND(J214&gt;0,L214&gt;0),(L214-J214)/J214,IF(AND(H214&gt;0,L214&gt;0),(L214-H214)/H214,""))</f>
        <v/>
      </c>
      <c r="N214" s="14">
        <v>45915</v>
      </c>
      <c r="O214" s="13">
        <v>30</v>
      </c>
      <c r="P214" s="16" t="str">
        <f>IF(AND(L214&gt;0,O214&gt;0),(O214-L214)/L214,"")</f>
        <v/>
      </c>
      <c r="Q214" s="18"/>
      <c r="R214" s="18">
        <v>1</v>
      </c>
      <c r="S214" s="10">
        <f>IF(N214&gt;0,TODAY()-N214,"")</f>
        <v>196</v>
      </c>
    </row>
    <row r="215" ht="17" customHeight="1" spans="1:19" x14ac:dyDescent="0.25">
      <c r="A215" s="3" t="s">
        <v>20</v>
      </c>
      <c r="B215" s="3" t="s">
        <v>430</v>
      </c>
      <c r="C215" s="3" t="s">
        <v>451</v>
      </c>
      <c r="D215" s="3" t="s">
        <v>452</v>
      </c>
      <c r="E215" s="4">
        <v>250</v>
      </c>
      <c r="F215" s="5">
        <v>1.45</v>
      </c>
      <c r="G215" s="6">
        <v>46015</v>
      </c>
      <c r="H215" s="5">
        <v>1.45</v>
      </c>
      <c r="I215" s="7" t="s">
        <v>54</v>
      </c>
      <c r="J215" s="5">
        <v>1.45</v>
      </c>
      <c r="K215" s="24">
        <f>IF(AND(H215&gt;0,J215&gt;0),(J215-H215)/H215,"")</f>
        <v>0</v>
      </c>
      <c r="L215" s="5"/>
      <c r="M215" s="8" t="str">
        <f>IF(AND(J215&gt;0,L215&gt;0),(L215-J215)/J215,IF(AND(H215&gt;0,L215&gt;0),(L215-H215)/H215,""))</f>
        <v/>
      </c>
      <c r="N215" s="6">
        <v>46015</v>
      </c>
      <c r="O215" s="5">
        <v>1.45</v>
      </c>
      <c r="P215" s="8" t="str">
        <f>IF(AND(L215&gt;0,O215&gt;0),(O215-L215)/L215,"")</f>
        <v/>
      </c>
      <c r="Q215" s="9"/>
      <c r="R215" s="9">
        <v>1</v>
      </c>
      <c r="S215" s="21">
        <f>IF(N215&gt;0,TODAY()-N215,"")</f>
        <v>96</v>
      </c>
    </row>
    <row r="216" ht="17" customHeight="1" spans="1:19" x14ac:dyDescent="0.25">
      <c r="A216" s="11" t="s">
        <v>20</v>
      </c>
      <c r="B216" s="11" t="s">
        <v>430</v>
      </c>
      <c r="C216" s="11" t="s">
        <v>453</v>
      </c>
      <c r="D216" s="11" t="s">
        <v>454</v>
      </c>
      <c r="E216" s="12">
        <v>600</v>
      </c>
      <c r="F216" s="13">
        <v>1.51</v>
      </c>
      <c r="G216" s="14">
        <v>46015</v>
      </c>
      <c r="H216" s="13">
        <v>1.51</v>
      </c>
      <c r="I216" s="15" t="s">
        <v>54</v>
      </c>
      <c r="J216" s="13">
        <v>1.51</v>
      </c>
      <c r="K216" s="17">
        <f>IF(AND(H216&gt;0,J216&gt;0),(J216-H216)/H216,"")</f>
        <v>0</v>
      </c>
      <c r="L216" s="13"/>
      <c r="M216" s="16" t="str">
        <f>IF(AND(J216&gt;0,L216&gt;0),(L216-J216)/J216,IF(AND(H216&gt;0,L216&gt;0),(L216-H216)/H216,""))</f>
        <v/>
      </c>
      <c r="N216" s="14">
        <v>46015</v>
      </c>
      <c r="O216" s="13">
        <v>1.51</v>
      </c>
      <c r="P216" s="16" t="str">
        <f>IF(AND(L216&gt;0,O216&gt;0),(O216-L216)/L216,"")</f>
        <v/>
      </c>
      <c r="Q216" s="18"/>
      <c r="R216" s="18">
        <v>1</v>
      </c>
      <c r="S216" s="21">
        <f>IF(N216&gt;0,TODAY()-N216,"")</f>
        <v>96</v>
      </c>
    </row>
    <row r="217" ht="17" customHeight="1" spans="1:19" x14ac:dyDescent="0.25">
      <c r="A217" s="3" t="s">
        <v>20</v>
      </c>
      <c r="B217" s="3" t="s">
        <v>430</v>
      </c>
      <c r="C217" s="3" t="s">
        <v>455</v>
      </c>
      <c r="D217" s="3" t="s">
        <v>456</v>
      </c>
      <c r="E217" s="4">
        <v>50</v>
      </c>
      <c r="F217" s="5">
        <v>4.08</v>
      </c>
      <c r="G217" s="6">
        <v>46020</v>
      </c>
      <c r="H217" s="5">
        <v>4.08</v>
      </c>
      <c r="I217" s="7" t="s">
        <v>54</v>
      </c>
      <c r="J217" s="5">
        <v>4.08</v>
      </c>
      <c r="K217" s="24">
        <f>IF(AND(H217&gt;0,J217&gt;0),(J217-H217)/H217,"")</f>
        <v>0</v>
      </c>
      <c r="L217" s="5"/>
      <c r="M217" s="8" t="str">
        <f>IF(AND(J217&gt;0,L217&gt;0),(L217-J217)/J217,IF(AND(H217&gt;0,L217&gt;0),(L217-H217)/H217,""))</f>
        <v/>
      </c>
      <c r="N217" s="6">
        <v>46020</v>
      </c>
      <c r="O217" s="5">
        <v>4.08</v>
      </c>
      <c r="P217" s="8" t="str">
        <f>IF(AND(L217&gt;0,O217&gt;0),(O217-L217)/L217,"")</f>
        <v/>
      </c>
      <c r="Q217" s="9"/>
      <c r="R217" s="9">
        <v>1</v>
      </c>
      <c r="S217" s="21">
        <f>IF(N217&gt;0,TODAY()-N217,"")</f>
        <v>91</v>
      </c>
    </row>
    <row r="218" ht="17" customHeight="1" spans="1:19" x14ac:dyDescent="0.25">
      <c r="A218" s="11" t="s">
        <v>20</v>
      </c>
      <c r="B218" s="11" t="s">
        <v>430</v>
      </c>
      <c r="C218" s="11" t="s">
        <v>457</v>
      </c>
      <c r="D218" s="11" t="s">
        <v>458</v>
      </c>
      <c r="E218" s="12">
        <v>160</v>
      </c>
      <c r="F218" s="13">
        <v>268.3125</v>
      </c>
      <c r="G218" s="14">
        <v>45671</v>
      </c>
      <c r="H218" s="13">
        <v>265</v>
      </c>
      <c r="I218" s="15" t="s">
        <v>24</v>
      </c>
      <c r="J218" s="13"/>
      <c r="K218" s="16" t="str">
        <f>IF(AND(H218&gt;0,J218&gt;0),(J218-H218)/H218,"")</f>
        <v/>
      </c>
      <c r="L218" s="13"/>
      <c r="M218" s="16" t="str">
        <f>IF(AND(J218&gt;0,L218&gt;0),(L218-J218)/J218,IF(AND(H218&gt;0,L218&gt;0),(L218-H218)/H218,""))</f>
        <v/>
      </c>
      <c r="N218" s="14">
        <v>45793</v>
      </c>
      <c r="O218" s="13">
        <v>260</v>
      </c>
      <c r="P218" s="16" t="str">
        <f>IF(AND(L218&gt;0,O218&gt;0),(O218-L218)/L218,"")</f>
        <v/>
      </c>
      <c r="Q218" s="18">
        <v>24</v>
      </c>
      <c r="R218" s="18">
        <v>6</v>
      </c>
      <c r="S218" s="10">
        <f>IF(N218&gt;0,TODAY()-N218,"")</f>
        <v>318</v>
      </c>
    </row>
    <row r="219" ht="17" customHeight="1" spans="1:19" x14ac:dyDescent="0.25">
      <c r="A219" s="3" t="s">
        <v>20</v>
      </c>
      <c r="B219" s="3" t="s">
        <v>430</v>
      </c>
      <c r="C219" s="3" t="s">
        <v>459</v>
      </c>
      <c r="D219" s="3" t="s">
        <v>460</v>
      </c>
      <c r="E219" s="4">
        <v>60</v>
      </c>
      <c r="F219" s="5">
        <v>68.25399999999999</v>
      </c>
      <c r="G219" s="6">
        <v>46108</v>
      </c>
      <c r="H219" s="5">
        <v>68.25</v>
      </c>
      <c r="I219" s="7" t="s">
        <v>24</v>
      </c>
      <c r="J219" s="5"/>
      <c r="K219" s="8" t="str">
        <f>IF(AND(H219&gt;0,J219&gt;0),(J219-H219)/H219,"")</f>
        <v/>
      </c>
      <c r="L219" s="5"/>
      <c r="M219" s="8" t="str">
        <f>IF(AND(J219&gt;0,L219&gt;0),(L219-J219)/J219,IF(AND(H219&gt;0,L219&gt;0),(L219-H219)/H219,""))</f>
        <v/>
      </c>
      <c r="N219" s="6">
        <v>46108</v>
      </c>
      <c r="O219" s="5">
        <v>68.25</v>
      </c>
      <c r="P219" s="24">
        <f>IF(AND(L219&gt;0,O219&gt;0),(O219-L219)/L219,"")</f>
        <v>0</v>
      </c>
      <c r="Q219" s="9"/>
      <c r="R219" s="9">
        <v>1</v>
      </c>
      <c r="S219" s="9">
        <f>IF(N219&gt;0,TODAY()-N219,"")</f>
        <v>3</v>
      </c>
    </row>
    <row r="220" ht="17" customHeight="1" spans="1:19" x14ac:dyDescent="0.25">
      <c r="A220" s="11" t="s">
        <v>20</v>
      </c>
      <c r="B220" s="11" t="s">
        <v>430</v>
      </c>
      <c r="C220" s="11" t="s">
        <v>461</v>
      </c>
      <c r="D220" s="11" t="s">
        <v>462</v>
      </c>
      <c r="E220" s="12">
        <v>84</v>
      </c>
      <c r="F220" s="13">
        <v>76.48214285714286</v>
      </c>
      <c r="G220" s="14">
        <v>45927</v>
      </c>
      <c r="H220" s="13">
        <v>60.97</v>
      </c>
      <c r="I220" s="15" t="s">
        <v>60</v>
      </c>
      <c r="J220" s="13">
        <v>97.17</v>
      </c>
      <c r="K220" s="23">
        <f>IF(AND(H220&gt;0,J220&gt;0),(J220-H220)/H220,"")</f>
        <v>0.5937346235853699</v>
      </c>
      <c r="L220" s="13"/>
      <c r="M220" s="16" t="str">
        <f>IF(AND(J220&gt;0,L220&gt;0),(L220-J220)/J220,IF(AND(H220&gt;0,L220&gt;0),(L220-H220)/H220,""))</f>
        <v/>
      </c>
      <c r="N220" s="14">
        <v>45979</v>
      </c>
      <c r="O220" s="13">
        <v>97.17</v>
      </c>
      <c r="P220" s="16" t="str">
        <f>IF(AND(L220&gt;0,O220&gt;0),(O220-L220)/L220,"")</f>
        <v/>
      </c>
      <c r="Q220" s="18">
        <v>52</v>
      </c>
      <c r="R220" s="18">
        <v>2</v>
      </c>
      <c r="S220" s="21">
        <f>IF(N220&gt;0,TODAY()-N220,"")</f>
        <v>132</v>
      </c>
    </row>
    <row r="221" ht="17" customHeight="1" spans="1:19" x14ac:dyDescent="0.25">
      <c r="A221" s="3" t="s">
        <v>20</v>
      </c>
      <c r="B221" s="3" t="s">
        <v>430</v>
      </c>
      <c r="C221" s="3" t="s">
        <v>463</v>
      </c>
      <c r="D221" s="3" t="s">
        <v>464</v>
      </c>
      <c r="E221" s="4">
        <v>30</v>
      </c>
      <c r="F221" s="5">
        <v>68.25399999999999</v>
      </c>
      <c r="G221" s="6">
        <v>46108</v>
      </c>
      <c r="H221" s="5">
        <v>68.25</v>
      </c>
      <c r="I221" s="7" t="s">
        <v>24</v>
      </c>
      <c r="J221" s="5"/>
      <c r="K221" s="8" t="str">
        <f>IF(AND(H221&gt;0,J221&gt;0),(J221-H221)/H221,"")</f>
        <v/>
      </c>
      <c r="L221" s="5"/>
      <c r="M221" s="8" t="str">
        <f>IF(AND(J221&gt;0,L221&gt;0),(L221-J221)/J221,IF(AND(H221&gt;0,L221&gt;0),(L221-H221)/H221,""))</f>
        <v/>
      </c>
      <c r="N221" s="6">
        <v>46108</v>
      </c>
      <c r="O221" s="5">
        <v>68.25</v>
      </c>
      <c r="P221" s="24">
        <f>IF(AND(L221&gt;0,O221&gt;0),(O221-L221)/L221,"")</f>
        <v>0</v>
      </c>
      <c r="Q221" s="9"/>
      <c r="R221" s="9">
        <v>1</v>
      </c>
      <c r="S221" s="9">
        <f>IF(N221&gt;0,TODAY()-N221,"")</f>
        <v>3</v>
      </c>
    </row>
    <row r="222" ht="17" customHeight="1" spans="1:19" x14ac:dyDescent="0.25">
      <c r="A222" s="11" t="s">
        <v>20</v>
      </c>
      <c r="B222" s="11" t="s">
        <v>430</v>
      </c>
      <c r="C222" s="11" t="s">
        <v>465</v>
      </c>
      <c r="D222" s="11" t="s">
        <v>466</v>
      </c>
      <c r="E222" s="12">
        <v>120</v>
      </c>
      <c r="F222" s="13">
        <v>66.83141666666667</v>
      </c>
      <c r="G222" s="14">
        <v>45915</v>
      </c>
      <c r="H222" s="13">
        <v>64.28</v>
      </c>
      <c r="I222" s="15" t="s">
        <v>60</v>
      </c>
      <c r="J222" s="13">
        <v>69.38</v>
      </c>
      <c r="K222" s="17">
        <f>IF(AND(H222&gt;0,J222&gt;0),(J222-H222)/H222,"")</f>
        <v>0.07934038581207209</v>
      </c>
      <c r="L222" s="13"/>
      <c r="M222" s="16" t="str">
        <f>IF(AND(J222&gt;0,L222&gt;0),(L222-J222)/J222,IF(AND(H222&gt;0,L222&gt;0),(L222-H222)/H222,""))</f>
        <v/>
      </c>
      <c r="N222" s="14">
        <v>45979</v>
      </c>
      <c r="O222" s="13">
        <v>69.38</v>
      </c>
      <c r="P222" s="16" t="str">
        <f>IF(AND(L222&gt;0,O222&gt;0),(O222-L222)/L222,"")</f>
        <v/>
      </c>
      <c r="Q222" s="18">
        <v>64</v>
      </c>
      <c r="R222" s="18">
        <v>2</v>
      </c>
      <c r="S222" s="21">
        <f>IF(N222&gt;0,TODAY()-N222,"")</f>
        <v>132</v>
      </c>
    </row>
    <row r="223" ht="17" customHeight="1" spans="1:19" x14ac:dyDescent="0.25">
      <c r="A223" s="3" t="s">
        <v>20</v>
      </c>
      <c r="B223" s="3" t="s">
        <v>430</v>
      </c>
      <c r="C223" s="3" t="s">
        <v>467</v>
      </c>
      <c r="D223" s="3" t="s">
        <v>468</v>
      </c>
      <c r="E223" s="4">
        <v>157</v>
      </c>
      <c r="F223" s="5">
        <v>539.7118471337578</v>
      </c>
      <c r="G223" s="6">
        <v>45677</v>
      </c>
      <c r="H223" s="5">
        <v>913.15</v>
      </c>
      <c r="I223" s="7" t="s">
        <v>57</v>
      </c>
      <c r="J223" s="5">
        <v>562.12</v>
      </c>
      <c r="K223" s="26">
        <f>IF(AND(H223&gt;0,J223&gt;0),(J223-H223)/H223,"")</f>
        <v>-0.384416579970432</v>
      </c>
      <c r="L223" s="5">
        <v>596.29</v>
      </c>
      <c r="M223" s="24">
        <f>IF(AND(J223&gt;0,L223&gt;0),(L223-J223)/J223,IF(AND(H223&gt;0,L223&gt;0),(L223-H223)/H223,""))</f>
        <v>0.060787732156834764</v>
      </c>
      <c r="N223" s="6">
        <v>46091</v>
      </c>
      <c r="O223" s="5">
        <v>583.77</v>
      </c>
      <c r="P223" s="26">
        <f>IF(AND(L223&gt;0,O223&gt;0),(O223-L223)/L223,"")</f>
        <v>-0.020996494994046492</v>
      </c>
      <c r="Q223" s="9">
        <v>38</v>
      </c>
      <c r="R223" s="9">
        <v>12</v>
      </c>
      <c r="S223" s="9">
        <f>IF(N223&gt;0,TODAY()-N223,"")</f>
        <v>20</v>
      </c>
    </row>
    <row r="224" ht="17" customHeight="1" spans="1:19" x14ac:dyDescent="0.25">
      <c r="A224" s="11" t="s">
        <v>20</v>
      </c>
      <c r="B224" s="11" t="s">
        <v>430</v>
      </c>
      <c r="C224" s="11" t="s">
        <v>469</v>
      </c>
      <c r="D224" s="11" t="s">
        <v>470</v>
      </c>
      <c r="E224" s="12">
        <v>48</v>
      </c>
      <c r="F224" s="13">
        <v>219.91666666666666</v>
      </c>
      <c r="G224" s="14">
        <v>45723</v>
      </c>
      <c r="H224" s="13">
        <v>175</v>
      </c>
      <c r="I224" s="15" t="s">
        <v>57</v>
      </c>
      <c r="J224" s="13">
        <v>252</v>
      </c>
      <c r="K224" s="23">
        <f>IF(AND(H224&gt;0,J224&gt;0),(J224-H224)/H224,"")</f>
        <v>0.44</v>
      </c>
      <c r="L224" s="13"/>
      <c r="M224" s="16" t="str">
        <f>IF(AND(J224&gt;0,L224&gt;0),(L224-J224)/J224,IF(AND(H224&gt;0,L224&gt;0),(L224-H224)/H224,""))</f>
        <v/>
      </c>
      <c r="N224" s="14">
        <v>45946</v>
      </c>
      <c r="O224" s="13">
        <v>252</v>
      </c>
      <c r="P224" s="16" t="str">
        <f>IF(AND(L224&gt;0,O224&gt;0),(O224-L224)/L224,"")</f>
        <v/>
      </c>
      <c r="Q224" s="18">
        <v>112</v>
      </c>
      <c r="R224" s="18">
        <v>3</v>
      </c>
      <c r="S224" s="21">
        <f>IF(N224&gt;0,TODAY()-N224,"")</f>
        <v>165</v>
      </c>
    </row>
    <row r="225" ht="17" customHeight="1" spans="1:19" x14ac:dyDescent="0.25">
      <c r="A225" s="3" t="s">
        <v>20</v>
      </c>
      <c r="B225" s="3" t="s">
        <v>430</v>
      </c>
      <c r="C225" s="3" t="s">
        <v>471</v>
      </c>
      <c r="D225" s="3" t="s">
        <v>472</v>
      </c>
      <c r="E225" s="4">
        <v>50</v>
      </c>
      <c r="F225" s="5">
        <v>50</v>
      </c>
      <c r="G225" s="6">
        <v>45706</v>
      </c>
      <c r="H225" s="5">
        <v>50</v>
      </c>
      <c r="I225" s="7" t="s">
        <v>24</v>
      </c>
      <c r="J225" s="5"/>
      <c r="K225" s="8" t="str">
        <f>IF(AND(H225&gt;0,J225&gt;0),(J225-H225)/H225,"")</f>
        <v/>
      </c>
      <c r="L225" s="5"/>
      <c r="M225" s="8" t="str">
        <f>IF(AND(J225&gt;0,L225&gt;0),(L225-J225)/J225,IF(AND(H225&gt;0,L225&gt;0),(L225-H225)/H225,""))</f>
        <v/>
      </c>
      <c r="N225" s="6">
        <v>45706</v>
      </c>
      <c r="O225" s="5">
        <v>50</v>
      </c>
      <c r="P225" s="8" t="str">
        <f>IF(AND(L225&gt;0,O225&gt;0),(O225-L225)/L225,"")</f>
        <v/>
      </c>
      <c r="Q225" s="9"/>
      <c r="R225" s="9">
        <v>1</v>
      </c>
      <c r="S225" s="10">
        <f>IF(N225&gt;0,TODAY()-N225,"")</f>
        <v>405</v>
      </c>
    </row>
    <row r="226" ht="17" customHeight="1" spans="1:19" x14ac:dyDescent="0.25">
      <c r="A226" s="11" t="s">
        <v>20</v>
      </c>
      <c r="B226" s="11" t="s">
        <v>430</v>
      </c>
      <c r="C226" s="11" t="s">
        <v>473</v>
      </c>
      <c r="D226" s="11" t="s">
        <v>474</v>
      </c>
      <c r="E226" s="12">
        <v>59</v>
      </c>
      <c r="F226" s="13">
        <v>183.85711864406778</v>
      </c>
      <c r="G226" s="14">
        <v>45947</v>
      </c>
      <c r="H226" s="13">
        <v>200.51</v>
      </c>
      <c r="I226" s="15" t="s">
        <v>57</v>
      </c>
      <c r="J226" s="13">
        <v>200.51</v>
      </c>
      <c r="K226" s="17">
        <f>IF(AND(H226&gt;0,J226&gt;0),(J226-H226)/H226,"")</f>
        <v>0</v>
      </c>
      <c r="L226" s="13"/>
      <c r="M226" s="16" t="str">
        <f>IF(AND(J226&gt;0,L226&gt;0),(L226-J226)/J226,IF(AND(H226&gt;0,L226&gt;0),(L226-H226)/H226,""))</f>
        <v/>
      </c>
      <c r="N226" s="14">
        <v>46091</v>
      </c>
      <c r="O226" s="13">
        <v>176</v>
      </c>
      <c r="P226" s="25">
        <f>IF(AND(L226&gt;0,O226&gt;0),(O226-L226)/L226,"")</f>
        <v>-0.122238292354496</v>
      </c>
      <c r="Q226" s="18">
        <v>72</v>
      </c>
      <c r="R226" s="18">
        <v>3</v>
      </c>
      <c r="S226" s="18">
        <f>IF(N226&gt;0,TODAY()-N226,"")</f>
        <v>20</v>
      </c>
    </row>
    <row r="227" ht="17" customHeight="1" spans="1:19" x14ac:dyDescent="0.25">
      <c r="A227" s="3" t="s">
        <v>20</v>
      </c>
      <c r="B227" s="3" t="s">
        <v>430</v>
      </c>
      <c r="C227" s="3" t="s">
        <v>475</v>
      </c>
      <c r="D227" s="3" t="s">
        <v>476</v>
      </c>
      <c r="E227" s="4">
        <v>30</v>
      </c>
      <c r="F227" s="5">
        <v>175.11</v>
      </c>
      <c r="G227" s="6">
        <v>46078</v>
      </c>
      <c r="H227" s="5">
        <v>175.11</v>
      </c>
      <c r="I227" s="7" t="s">
        <v>24</v>
      </c>
      <c r="J227" s="5"/>
      <c r="K227" s="8" t="str">
        <f>IF(AND(H227&gt;0,J227&gt;0),(J227-H227)/H227,"")</f>
        <v/>
      </c>
      <c r="L227" s="5"/>
      <c r="M227" s="8" t="str">
        <f>IF(AND(J227&gt;0,L227&gt;0),(L227-J227)/J227,IF(AND(H227&gt;0,L227&gt;0),(L227-H227)/H227,""))</f>
        <v/>
      </c>
      <c r="N227" s="6">
        <v>46078</v>
      </c>
      <c r="O227" s="5">
        <v>175.11</v>
      </c>
      <c r="P227" s="24">
        <f>IF(AND(L227&gt;0,O227&gt;0),(O227-L227)/L227,"")</f>
        <v>0</v>
      </c>
      <c r="Q227" s="9"/>
      <c r="R227" s="9">
        <v>1</v>
      </c>
      <c r="S227" s="9">
        <f>IF(N227&gt;0,TODAY()-N227,"")</f>
        <v>33</v>
      </c>
    </row>
    <row r="228" ht="17" customHeight="1" spans="1:19" x14ac:dyDescent="0.25">
      <c r="A228" s="11" t="s">
        <v>20</v>
      </c>
      <c r="B228" s="11" t="s">
        <v>430</v>
      </c>
      <c r="C228" s="11" t="s">
        <v>477</v>
      </c>
      <c r="D228" s="11" t="s">
        <v>478</v>
      </c>
      <c r="E228" s="12">
        <v>192</v>
      </c>
      <c r="F228" s="13">
        <v>52.5</v>
      </c>
      <c r="G228" s="14">
        <v>45776</v>
      </c>
      <c r="H228" s="13">
        <v>45</v>
      </c>
      <c r="I228" s="15" t="s">
        <v>24</v>
      </c>
      <c r="J228" s="13"/>
      <c r="K228" s="16" t="str">
        <f>IF(AND(H228&gt;0,J228&gt;0),(J228-H228)/H228,"")</f>
        <v/>
      </c>
      <c r="L228" s="13"/>
      <c r="M228" s="16" t="str">
        <f>IF(AND(J228&gt;0,L228&gt;0),(L228-J228)/J228,IF(AND(H228&gt;0,L228&gt;0),(L228-H228)/H228,""))</f>
        <v/>
      </c>
      <c r="N228" s="14">
        <v>45911</v>
      </c>
      <c r="O228" s="13">
        <v>60</v>
      </c>
      <c r="P228" s="16" t="str">
        <f>IF(AND(L228&gt;0,O228&gt;0),(O228-L228)/L228,"")</f>
        <v/>
      </c>
      <c r="Q228" s="18">
        <v>135</v>
      </c>
      <c r="R228" s="18">
        <v>2</v>
      </c>
      <c r="S228" s="10">
        <f>IF(N228&gt;0,TODAY()-N228,"")</f>
        <v>200</v>
      </c>
    </row>
    <row r="229" ht="17" customHeight="1" spans="1:19" x14ac:dyDescent="0.25">
      <c r="A229" s="3" t="s">
        <v>20</v>
      </c>
      <c r="B229" s="3" t="s">
        <v>430</v>
      </c>
      <c r="C229" s="3" t="s">
        <v>479</v>
      </c>
      <c r="D229" s="3" t="s">
        <v>480</v>
      </c>
      <c r="E229" s="4">
        <v>44</v>
      </c>
      <c r="F229" s="5">
        <v>39.0175</v>
      </c>
      <c r="G229" s="6">
        <v>45947</v>
      </c>
      <c r="H229" s="5">
        <v>30</v>
      </c>
      <c r="I229" s="7" t="s">
        <v>54</v>
      </c>
      <c r="J229" s="5">
        <v>41.67</v>
      </c>
      <c r="K229" s="23">
        <f>IF(AND(H229&gt;0,J229&gt;0),(J229-H229)/H229,"")</f>
        <v>0.38900000000000007</v>
      </c>
      <c r="L229" s="5"/>
      <c r="M229" s="8" t="str">
        <f>IF(AND(J229&gt;0,L229&gt;0),(L229-J229)/J229,IF(AND(H229&gt;0,L229&gt;0),(L229-H229)/H229,""))</f>
        <v/>
      </c>
      <c r="N229" s="6">
        <v>46097</v>
      </c>
      <c r="O229" s="5">
        <v>41.67</v>
      </c>
      <c r="P229" s="24">
        <f>IF(AND(L229&gt;0,O229&gt;0),(O229-L229)/L229,"")</f>
        <v>0</v>
      </c>
      <c r="Q229" s="9">
        <v>38</v>
      </c>
      <c r="R229" s="9">
        <v>5</v>
      </c>
      <c r="S229" s="9">
        <f>IF(N229&gt;0,TODAY()-N229,"")</f>
        <v>14</v>
      </c>
    </row>
    <row r="230" ht="17" customHeight="1" spans="1:19" x14ac:dyDescent="0.25">
      <c r="A230" s="11" t="s">
        <v>20</v>
      </c>
      <c r="B230" s="11" t="s">
        <v>430</v>
      </c>
      <c r="C230" s="11" t="s">
        <v>481</v>
      </c>
      <c r="D230" s="11" t="s">
        <v>482</v>
      </c>
      <c r="E230" s="12">
        <v>432</v>
      </c>
      <c r="F230" s="13">
        <v>35.25</v>
      </c>
      <c r="G230" s="14">
        <v>45713</v>
      </c>
      <c r="H230" s="13">
        <v>72</v>
      </c>
      <c r="I230" s="15" t="s">
        <v>60</v>
      </c>
      <c r="J230" s="13">
        <v>28</v>
      </c>
      <c r="K230" s="25">
        <f>IF(AND(H230&gt;0,J230&gt;0),(J230-H230)/H230,"")</f>
        <v>-0.6111111111111112</v>
      </c>
      <c r="L230" s="13"/>
      <c r="M230" s="16" t="str">
        <f>IF(AND(J230&gt;0,L230&gt;0),(L230-J230)/J230,IF(AND(H230&gt;0,L230&gt;0),(L230-H230)/H230,""))</f>
        <v/>
      </c>
      <c r="N230" s="14">
        <v>46078</v>
      </c>
      <c r="O230" s="13">
        <v>30</v>
      </c>
      <c r="P230" s="17">
        <f>IF(AND(L230&gt;0,O230&gt;0),(O230-L230)/L230,"")</f>
        <v>0.07142857142857142</v>
      </c>
      <c r="Q230" s="18">
        <v>91</v>
      </c>
      <c r="R230" s="18">
        <v>5</v>
      </c>
      <c r="S230" s="18">
        <f>IF(N230&gt;0,TODAY()-N230,"")</f>
        <v>33</v>
      </c>
    </row>
    <row r="231" ht="17" customHeight="1" spans="1:19" x14ac:dyDescent="0.25">
      <c r="A231" s="3" t="s">
        <v>20</v>
      </c>
      <c r="B231" s="3" t="s">
        <v>430</v>
      </c>
      <c r="C231" s="3" t="s">
        <v>483</v>
      </c>
      <c r="D231" s="3" t="s">
        <v>484</v>
      </c>
      <c r="E231" s="4">
        <v>648</v>
      </c>
      <c r="F231" s="5">
        <v>49.833333333333336</v>
      </c>
      <c r="G231" s="6">
        <v>45698</v>
      </c>
      <c r="H231" s="5">
        <v>40</v>
      </c>
      <c r="I231" s="7" t="s">
        <v>57</v>
      </c>
      <c r="J231" s="5">
        <v>56</v>
      </c>
      <c r="K231" s="23">
        <f>IF(AND(H231&gt;0,J231&gt;0),(J231-H231)/H231,"")</f>
        <v>0.4</v>
      </c>
      <c r="L231" s="5">
        <v>55</v>
      </c>
      <c r="M231" s="26">
        <f>IF(AND(J231&gt;0,L231&gt;0),(L231-J231)/J231,IF(AND(H231&gt;0,L231&gt;0),(L231-H231)/H231,""))</f>
        <v>-0.017857142857142856</v>
      </c>
      <c r="N231" s="6">
        <v>46078</v>
      </c>
      <c r="O231" s="5">
        <v>55</v>
      </c>
      <c r="P231" s="24">
        <f>IF(AND(L231&gt;0,O231&gt;0),(O231-L231)/L231,"")</f>
        <v>0</v>
      </c>
      <c r="Q231" s="9">
        <v>25</v>
      </c>
      <c r="R231" s="9">
        <v>16</v>
      </c>
      <c r="S231" s="9">
        <f>IF(N231&gt;0,TODAY()-N231,"")</f>
        <v>33</v>
      </c>
    </row>
    <row r="232" ht="17" customHeight="1" spans="1:19" x14ac:dyDescent="0.25">
      <c r="A232" s="11" t="s">
        <v>20</v>
      </c>
      <c r="B232" s="11" t="s">
        <v>430</v>
      </c>
      <c r="C232" s="11" t="s">
        <v>485</v>
      </c>
      <c r="D232" s="11" t="s">
        <v>486</v>
      </c>
      <c r="E232" s="12">
        <v>50</v>
      </c>
      <c r="F232" s="13">
        <v>70</v>
      </c>
      <c r="G232" s="14">
        <v>45750</v>
      </c>
      <c r="H232" s="13">
        <v>70</v>
      </c>
      <c r="I232" s="15" t="s">
        <v>24</v>
      </c>
      <c r="J232" s="13"/>
      <c r="K232" s="16" t="str">
        <f>IF(AND(H232&gt;0,J232&gt;0),(J232-H232)/H232,"")</f>
        <v/>
      </c>
      <c r="L232" s="13"/>
      <c r="M232" s="16" t="str">
        <f>IF(AND(J232&gt;0,L232&gt;0),(L232-J232)/J232,IF(AND(H232&gt;0,L232&gt;0),(L232-H232)/H232,""))</f>
        <v/>
      </c>
      <c r="N232" s="14">
        <v>45789</v>
      </c>
      <c r="O232" s="13">
        <v>70</v>
      </c>
      <c r="P232" s="16" t="str">
        <f>IF(AND(L232&gt;0,O232&gt;0),(O232-L232)/L232,"")</f>
        <v/>
      </c>
      <c r="Q232" s="18">
        <v>39</v>
      </c>
      <c r="R232" s="18">
        <v>2</v>
      </c>
      <c r="S232" s="10">
        <f>IF(N232&gt;0,TODAY()-N232,"")</f>
        <v>322</v>
      </c>
    </row>
    <row r="233" ht="17" customHeight="1" spans="1:19" x14ac:dyDescent="0.25">
      <c r="A233" s="3" t="s">
        <v>20</v>
      </c>
      <c r="B233" s="3" t="s">
        <v>430</v>
      </c>
      <c r="C233" s="3" t="s">
        <v>487</v>
      </c>
      <c r="D233" s="3" t="s">
        <v>488</v>
      </c>
      <c r="E233" s="4">
        <v>180</v>
      </c>
      <c r="F233" s="5">
        <v>95.5</v>
      </c>
      <c r="G233" s="6">
        <v>45740</v>
      </c>
      <c r="H233" s="5">
        <v>137.5</v>
      </c>
      <c r="I233" s="7" t="s">
        <v>57</v>
      </c>
      <c r="J233" s="5">
        <v>85</v>
      </c>
      <c r="K233" s="26">
        <f>IF(AND(H233&gt;0,J233&gt;0),(J233-H233)/H233,"")</f>
        <v>-0.3818181818181819</v>
      </c>
      <c r="L233" s="5"/>
      <c r="M233" s="8" t="str">
        <f>IF(AND(J233&gt;0,L233&gt;0),(L233-J233)/J233,IF(AND(H233&gt;0,L233&gt;0),(L233-H233)/H233,""))</f>
        <v/>
      </c>
      <c r="N233" s="6">
        <v>46078</v>
      </c>
      <c r="O233" s="5">
        <v>85</v>
      </c>
      <c r="P233" s="24">
        <f>IF(AND(L233&gt;0,O233&gt;0),(O233-L233)/L233,"")</f>
        <v>0</v>
      </c>
      <c r="Q233" s="9">
        <v>169</v>
      </c>
      <c r="R233" s="9">
        <v>3</v>
      </c>
      <c r="S233" s="9">
        <f>IF(N233&gt;0,TODAY()-N233,"")</f>
        <v>33</v>
      </c>
    </row>
    <row r="234" ht="17" customHeight="1" spans="1:19" x14ac:dyDescent="0.25">
      <c r="A234" s="11" t="s">
        <v>20</v>
      </c>
      <c r="B234" s="11" t="s">
        <v>430</v>
      </c>
      <c r="C234" s="11" t="s">
        <v>489</v>
      </c>
      <c r="D234" s="11" t="s">
        <v>490</v>
      </c>
      <c r="E234" s="12">
        <v>790</v>
      </c>
      <c r="F234" s="13">
        <v>10.19620253164557</v>
      </c>
      <c r="G234" s="14">
        <v>45684</v>
      </c>
      <c r="H234" s="13">
        <v>8.5</v>
      </c>
      <c r="I234" s="15" t="s">
        <v>57</v>
      </c>
      <c r="J234" s="13">
        <v>11</v>
      </c>
      <c r="K234" s="23">
        <f>IF(AND(H234&gt;0,J234&gt;0),(J234-H234)/H234,"")</f>
        <v>0.29411764705882354</v>
      </c>
      <c r="L234" s="13">
        <v>11.5</v>
      </c>
      <c r="M234" s="17">
        <f>IF(AND(J234&gt;0,L234&gt;0),(L234-J234)/J234,IF(AND(H234&gt;0,L234&gt;0),(L234-H234)/H234,""))</f>
        <v>0.045454545454545456</v>
      </c>
      <c r="N234" s="14">
        <v>46104</v>
      </c>
      <c r="O234" s="13">
        <v>14.5</v>
      </c>
      <c r="P234" s="23">
        <f>IF(AND(L234&gt;0,O234&gt;0),(O234-L234)/L234,"")</f>
        <v>0.2608695652173913</v>
      </c>
      <c r="Q234" s="18">
        <v>30</v>
      </c>
      <c r="R234" s="18">
        <v>15</v>
      </c>
      <c r="S234" s="18">
        <f>IF(N234&gt;0,TODAY()-N234,"")</f>
        <v>7</v>
      </c>
    </row>
    <row r="235" ht="17" customHeight="1" spans="1:19" x14ac:dyDescent="0.25">
      <c r="A235" s="3" t="s">
        <v>20</v>
      </c>
      <c r="B235" s="3" t="s">
        <v>430</v>
      </c>
      <c r="C235" s="3" t="s">
        <v>491</v>
      </c>
      <c r="D235" s="3" t="s">
        <v>492</v>
      </c>
      <c r="E235" s="4">
        <v>805</v>
      </c>
      <c r="F235" s="5">
        <v>45.559006211180126</v>
      </c>
      <c r="G235" s="6">
        <v>45680</v>
      </c>
      <c r="H235" s="5">
        <v>29.5</v>
      </c>
      <c r="I235" s="7" t="s">
        <v>54</v>
      </c>
      <c r="J235" s="5">
        <v>60</v>
      </c>
      <c r="K235" s="23">
        <f>IF(AND(H235&gt;0,J235&gt;0),(J235-H235)/H235,"")</f>
        <v>1.0338983050847457</v>
      </c>
      <c r="L235" s="5"/>
      <c r="M235" s="8" t="str">
        <f>IF(AND(J235&gt;0,L235&gt;0),(L235-J235)/J235,IF(AND(H235&gt;0,L235&gt;0),(L235-H235)/H235,""))</f>
        <v/>
      </c>
      <c r="N235" s="6">
        <v>46064</v>
      </c>
      <c r="O235" s="5">
        <v>35</v>
      </c>
      <c r="P235" s="26">
        <f>IF(AND(L235&gt;0,O235&gt;0),(O235-L235)/L235,"")</f>
        <v>-0.41666666666666674</v>
      </c>
      <c r="Q235" s="9">
        <v>38</v>
      </c>
      <c r="R235" s="9">
        <v>11</v>
      </c>
      <c r="S235" s="9">
        <f>IF(N235&gt;0,TODAY()-N235,"")</f>
        <v>47</v>
      </c>
    </row>
    <row r="236" ht="17" customHeight="1" spans="1:19" x14ac:dyDescent="0.25">
      <c r="A236" s="11" t="s">
        <v>20</v>
      </c>
      <c r="B236" s="11" t="s">
        <v>430</v>
      </c>
      <c r="C236" s="11" t="s">
        <v>493</v>
      </c>
      <c r="D236" s="11" t="s">
        <v>494</v>
      </c>
      <c r="E236" s="12">
        <v>10</v>
      </c>
      <c r="F236" s="13">
        <v>150</v>
      </c>
      <c r="G236" s="14">
        <v>45708</v>
      </c>
      <c r="H236" s="13">
        <v>150</v>
      </c>
      <c r="I236" s="15" t="s">
        <v>24</v>
      </c>
      <c r="J236" s="13"/>
      <c r="K236" s="16" t="str">
        <f>IF(AND(H236&gt;0,J236&gt;0),(J236-H236)/H236,"")</f>
        <v/>
      </c>
      <c r="L236" s="13"/>
      <c r="M236" s="16" t="str">
        <f>IF(AND(J236&gt;0,L236&gt;0),(L236-J236)/J236,IF(AND(H236&gt;0,L236&gt;0),(L236-H236)/H236,""))</f>
        <v/>
      </c>
      <c r="N236" s="14">
        <v>45708</v>
      </c>
      <c r="O236" s="13">
        <v>150</v>
      </c>
      <c r="P236" s="16" t="str">
        <f>IF(AND(L236&gt;0,O236&gt;0),(O236-L236)/L236,"")</f>
        <v/>
      </c>
      <c r="Q236" s="18"/>
      <c r="R236" s="18">
        <v>1</v>
      </c>
      <c r="S236" s="10">
        <f>IF(N236&gt;0,TODAY()-N236,"")</f>
        <v>403</v>
      </c>
    </row>
    <row r="237" ht="17" customHeight="1" spans="1:19" x14ac:dyDescent="0.25">
      <c r="A237" s="3" t="s">
        <v>20</v>
      </c>
      <c r="B237" s="3" t="s">
        <v>430</v>
      </c>
      <c r="C237" s="3" t="s">
        <v>495</v>
      </c>
      <c r="D237" s="3" t="s">
        <v>496</v>
      </c>
      <c r="E237" s="4">
        <v>116</v>
      </c>
      <c r="F237" s="5">
        <v>66.68103448275862</v>
      </c>
      <c r="G237" s="6">
        <v>45726</v>
      </c>
      <c r="H237" s="5">
        <v>60</v>
      </c>
      <c r="I237" s="7" t="s">
        <v>24</v>
      </c>
      <c r="J237" s="5"/>
      <c r="K237" s="8" t="str">
        <f>IF(AND(H237&gt;0,J237&gt;0),(J237-H237)/H237,"")</f>
        <v/>
      </c>
      <c r="L237" s="5"/>
      <c r="M237" s="8" t="str">
        <f>IF(AND(J237&gt;0,L237&gt;0),(L237-J237)/J237,IF(AND(H237&gt;0,L237&gt;0),(L237-H237)/H237,""))</f>
        <v/>
      </c>
      <c r="N237" s="6">
        <v>45840</v>
      </c>
      <c r="O237" s="5">
        <v>72.5</v>
      </c>
      <c r="P237" s="8" t="str">
        <f>IF(AND(L237&gt;0,O237&gt;0),(O237-L237)/L237,"")</f>
        <v/>
      </c>
      <c r="Q237" s="9">
        <v>57</v>
      </c>
      <c r="R237" s="9">
        <v>3</v>
      </c>
      <c r="S237" s="10">
        <f>IF(N237&gt;0,TODAY()-N237,"")</f>
        <v>271</v>
      </c>
    </row>
    <row r="238" ht="17" customHeight="1" spans="1:19" x14ac:dyDescent="0.25">
      <c r="A238" s="11" t="s">
        <v>20</v>
      </c>
      <c r="B238" s="11" t="s">
        <v>430</v>
      </c>
      <c r="C238" s="11" t="s">
        <v>497</v>
      </c>
      <c r="D238" s="11" t="s">
        <v>498</v>
      </c>
      <c r="E238" s="12">
        <v>1</v>
      </c>
      <c r="F238" s="13">
        <v>30</v>
      </c>
      <c r="G238" s="14">
        <v>45924</v>
      </c>
      <c r="H238" s="13">
        <v>30</v>
      </c>
      <c r="I238" s="15" t="s">
        <v>24</v>
      </c>
      <c r="J238" s="13"/>
      <c r="K238" s="16" t="str">
        <f>IF(AND(H238&gt;0,J238&gt;0),(J238-H238)/H238,"")</f>
        <v/>
      </c>
      <c r="L238" s="13"/>
      <c r="M238" s="16" t="str">
        <f>IF(AND(J238&gt;0,L238&gt;0),(L238-J238)/J238,IF(AND(H238&gt;0,L238&gt;0),(L238-H238)/H238,""))</f>
        <v/>
      </c>
      <c r="N238" s="14">
        <v>45924</v>
      </c>
      <c r="O238" s="13">
        <v>30</v>
      </c>
      <c r="P238" s="16" t="str">
        <f>IF(AND(L238&gt;0,O238&gt;0),(O238-L238)/L238,"")</f>
        <v/>
      </c>
      <c r="Q238" s="18"/>
      <c r="R238" s="18">
        <v>1</v>
      </c>
      <c r="S238" s="10">
        <f>IF(N238&gt;0,TODAY()-N238,"")</f>
        <v>187</v>
      </c>
    </row>
    <row r="239" ht="17" customHeight="1" spans="1:19" x14ac:dyDescent="0.25">
      <c r="A239" s="3" t="s">
        <v>20</v>
      </c>
      <c r="B239" s="3" t="s">
        <v>430</v>
      </c>
      <c r="C239" s="3" t="s">
        <v>499</v>
      </c>
      <c r="D239" s="3" t="s">
        <v>500</v>
      </c>
      <c r="E239" s="4">
        <v>20</v>
      </c>
      <c r="F239" s="5">
        <v>20</v>
      </c>
      <c r="G239" s="6">
        <v>45698</v>
      </c>
      <c r="H239" s="5">
        <v>20</v>
      </c>
      <c r="I239" s="7" t="s">
        <v>24</v>
      </c>
      <c r="J239" s="5"/>
      <c r="K239" s="8" t="str">
        <f>IF(AND(H239&gt;0,J239&gt;0),(J239-H239)/H239,"")</f>
        <v/>
      </c>
      <c r="L239" s="5"/>
      <c r="M239" s="8" t="str">
        <f>IF(AND(J239&gt;0,L239&gt;0),(L239-J239)/J239,IF(AND(H239&gt;0,L239&gt;0),(L239-H239)/H239,""))</f>
        <v/>
      </c>
      <c r="N239" s="6">
        <v>45873</v>
      </c>
      <c r="O239" s="5">
        <v>20</v>
      </c>
      <c r="P239" s="8" t="str">
        <f>IF(AND(L239&gt;0,O239&gt;0),(O239-L239)/L239,"")</f>
        <v/>
      </c>
      <c r="Q239" s="9">
        <v>175</v>
      </c>
      <c r="R239" s="9">
        <v>2</v>
      </c>
      <c r="S239" s="10">
        <f>IF(N239&gt;0,TODAY()-N239,"")</f>
        <v>238</v>
      </c>
    </row>
    <row r="240" ht="17" customHeight="1" spans="1:19" x14ac:dyDescent="0.25">
      <c r="A240" s="11" t="s">
        <v>20</v>
      </c>
      <c r="B240" s="11" t="s">
        <v>430</v>
      </c>
      <c r="C240" s="11" t="s">
        <v>501</v>
      </c>
      <c r="D240" s="11" t="s">
        <v>502</v>
      </c>
      <c r="E240" s="12">
        <v>500</v>
      </c>
      <c r="F240" s="13">
        <v>0.36838</v>
      </c>
      <c r="G240" s="14">
        <v>45743</v>
      </c>
      <c r="H240" s="13">
        <v>0.37</v>
      </c>
      <c r="I240" s="15" t="s">
        <v>24</v>
      </c>
      <c r="J240" s="13"/>
      <c r="K240" s="16" t="str">
        <f>IF(AND(H240&gt;0,J240&gt;0),(J240-H240)/H240,"")</f>
        <v/>
      </c>
      <c r="L240" s="13"/>
      <c r="M240" s="16" t="str">
        <f>IF(AND(J240&gt;0,L240&gt;0),(L240-J240)/J240,IF(AND(H240&gt;0,L240&gt;0),(L240-H240)/H240,""))</f>
        <v/>
      </c>
      <c r="N240" s="14">
        <v>45743</v>
      </c>
      <c r="O240" s="13">
        <v>0.37</v>
      </c>
      <c r="P240" s="16" t="str">
        <f>IF(AND(L240&gt;0,O240&gt;0),(O240-L240)/L240,"")</f>
        <v/>
      </c>
      <c r="Q240" s="18"/>
      <c r="R240" s="18">
        <v>1</v>
      </c>
      <c r="S240" s="10">
        <f>IF(N240&gt;0,TODAY()-N240,"")</f>
        <v>368</v>
      </c>
    </row>
    <row r="241" ht="17" customHeight="1" spans="1:19" x14ac:dyDescent="0.25">
      <c r="A241" s="3" t="s">
        <v>20</v>
      </c>
      <c r="B241" s="3" t="s">
        <v>430</v>
      </c>
      <c r="C241" s="3" t="s">
        <v>503</v>
      </c>
      <c r="D241" s="3" t="s">
        <v>504</v>
      </c>
      <c r="E241" s="4">
        <v>100</v>
      </c>
      <c r="F241" s="5">
        <v>16.8187</v>
      </c>
      <c r="G241" s="6">
        <v>45699</v>
      </c>
      <c r="H241" s="5">
        <v>16.09</v>
      </c>
      <c r="I241" s="7" t="s">
        <v>24</v>
      </c>
      <c r="J241" s="5"/>
      <c r="K241" s="8" t="str">
        <f>IF(AND(H241&gt;0,J241&gt;0),(J241-H241)/H241,"")</f>
        <v/>
      </c>
      <c r="L241" s="5"/>
      <c r="M241" s="8" t="str">
        <f>IF(AND(J241&gt;0,L241&gt;0),(L241-J241)/J241,IF(AND(H241&gt;0,L241&gt;0),(L241-H241)/H241,""))</f>
        <v/>
      </c>
      <c r="N241" s="6">
        <v>45700</v>
      </c>
      <c r="O241" s="5">
        <v>17.55</v>
      </c>
      <c r="P241" s="8" t="str">
        <f>IF(AND(L241&gt;0,O241&gt;0),(O241-L241)/L241,"")</f>
        <v/>
      </c>
      <c r="Q241" s="9">
        <v>1</v>
      </c>
      <c r="R241" s="9">
        <v>2</v>
      </c>
      <c r="S241" s="10">
        <f>IF(N241&gt;0,TODAY()-N241,"")</f>
        <v>411</v>
      </c>
    </row>
    <row r="242" ht="17" customHeight="1" spans="1:19" x14ac:dyDescent="0.25">
      <c r="A242" s="11" t="s">
        <v>20</v>
      </c>
      <c r="B242" s="11" t="s">
        <v>430</v>
      </c>
      <c r="C242" s="11" t="s">
        <v>505</v>
      </c>
      <c r="D242" s="11" t="s">
        <v>506</v>
      </c>
      <c r="E242" s="12">
        <v>925</v>
      </c>
      <c r="F242" s="13">
        <v>7.881081081081081</v>
      </c>
      <c r="G242" s="14">
        <v>45800</v>
      </c>
      <c r="H242" s="13">
        <v>7.15</v>
      </c>
      <c r="I242" s="15" t="s">
        <v>57</v>
      </c>
      <c r="J242" s="13">
        <v>9.25</v>
      </c>
      <c r="K242" s="23">
        <f>IF(AND(H242&gt;0,J242&gt;0),(J242-H242)/H242,"")</f>
        <v>0.29370629370629364</v>
      </c>
      <c r="L242" s="13">
        <v>8</v>
      </c>
      <c r="M242" s="25">
        <f>IF(AND(J242&gt;0,L242&gt;0),(L242-J242)/J242,IF(AND(H242&gt;0,L242&gt;0),(L242-H242)/H242,""))</f>
        <v>-0.13513513513513514</v>
      </c>
      <c r="N242" s="14">
        <v>46094</v>
      </c>
      <c r="O242" s="13">
        <v>8</v>
      </c>
      <c r="P242" s="17">
        <f>IF(AND(L242&gt;0,O242&gt;0),(O242-L242)/L242,"")</f>
        <v>0</v>
      </c>
      <c r="Q242" s="18">
        <v>42</v>
      </c>
      <c r="R242" s="18">
        <v>8</v>
      </c>
      <c r="S242" s="18">
        <f>IF(N242&gt;0,TODAY()-N242,"")</f>
        <v>17</v>
      </c>
    </row>
    <row r="243" ht="17" customHeight="1" spans="1:19" x14ac:dyDescent="0.25">
      <c r="A243" s="3" t="s">
        <v>20</v>
      </c>
      <c r="B243" s="3" t="s">
        <v>430</v>
      </c>
      <c r="C243" s="3" t="s">
        <v>507</v>
      </c>
      <c r="D243" s="3" t="s">
        <v>508</v>
      </c>
      <c r="E243" s="4">
        <v>2125</v>
      </c>
      <c r="F243" s="5">
        <v>11.385294117647058</v>
      </c>
      <c r="G243" s="6">
        <v>45729</v>
      </c>
      <c r="H243" s="5">
        <v>10.75</v>
      </c>
      <c r="I243" s="7" t="s">
        <v>60</v>
      </c>
      <c r="J243" s="5">
        <v>13.5</v>
      </c>
      <c r="K243" s="23">
        <f>IF(AND(H243&gt;0,J243&gt;0),(J243-H243)/H243,"")</f>
        <v>0.2558139534883721</v>
      </c>
      <c r="L243" s="5">
        <v>12</v>
      </c>
      <c r="M243" s="26">
        <f>IF(AND(J243&gt;0,L243&gt;0),(L243-J243)/J243,IF(AND(H243&gt;0,L243&gt;0),(L243-H243)/H243,""))</f>
        <v>-0.1111111111111111</v>
      </c>
      <c r="N243" s="6">
        <v>46104</v>
      </c>
      <c r="O243" s="5">
        <v>10.65</v>
      </c>
      <c r="P243" s="26">
        <f>IF(AND(L243&gt;0,O243&gt;0),(O243-L243)/L243,"")</f>
        <v>-0.11249999999999999</v>
      </c>
      <c r="Q243" s="9">
        <v>42</v>
      </c>
      <c r="R243" s="9">
        <v>10</v>
      </c>
      <c r="S243" s="9">
        <f>IF(N243&gt;0,TODAY()-N243,"")</f>
        <v>7</v>
      </c>
    </row>
    <row r="244" ht="17" customHeight="1" spans="1:19" x14ac:dyDescent="0.25">
      <c r="A244" s="11" t="s">
        <v>20</v>
      </c>
      <c r="B244" s="11" t="s">
        <v>430</v>
      </c>
      <c r="C244" s="11" t="s">
        <v>509</v>
      </c>
      <c r="D244" s="11" t="s">
        <v>510</v>
      </c>
      <c r="E244" s="12">
        <v>250</v>
      </c>
      <c r="F244" s="13">
        <v>21.45</v>
      </c>
      <c r="G244" s="14">
        <v>45882</v>
      </c>
      <c r="H244" s="13">
        <v>21.45</v>
      </c>
      <c r="I244" s="15" t="s">
        <v>24</v>
      </c>
      <c r="J244" s="13"/>
      <c r="K244" s="16" t="str">
        <f>IF(AND(H244&gt;0,J244&gt;0),(J244-H244)/H244,"")</f>
        <v/>
      </c>
      <c r="L244" s="13"/>
      <c r="M244" s="16" t="str">
        <f>IF(AND(J244&gt;0,L244&gt;0),(L244-J244)/J244,IF(AND(H244&gt;0,L244&gt;0),(L244-H244)/H244,""))</f>
        <v/>
      </c>
      <c r="N244" s="14">
        <v>45882</v>
      </c>
      <c r="O244" s="13">
        <v>21.45</v>
      </c>
      <c r="P244" s="16" t="str">
        <f>IF(AND(L244&gt;0,O244&gt;0),(O244-L244)/L244,"")</f>
        <v/>
      </c>
      <c r="Q244" s="18"/>
      <c r="R244" s="18">
        <v>1</v>
      </c>
      <c r="S244" s="10">
        <f>IF(N244&gt;0,TODAY()-N244,"")</f>
        <v>229</v>
      </c>
    </row>
    <row r="245" ht="17" customHeight="1" spans="1:19" x14ac:dyDescent="0.25">
      <c r="A245" s="3" t="s">
        <v>20</v>
      </c>
      <c r="B245" s="3" t="s">
        <v>430</v>
      </c>
      <c r="C245" s="3" t="s">
        <v>511</v>
      </c>
      <c r="D245" s="3" t="s">
        <v>512</v>
      </c>
      <c r="E245" s="4">
        <v>2450</v>
      </c>
      <c r="F245" s="5">
        <v>9.754081632653062</v>
      </c>
      <c r="G245" s="6">
        <v>45713</v>
      </c>
      <c r="H245" s="5">
        <v>9.4</v>
      </c>
      <c r="I245" s="7" t="s">
        <v>57</v>
      </c>
      <c r="J245" s="5">
        <v>11</v>
      </c>
      <c r="K245" s="22">
        <f>IF(AND(H245&gt;0,J245&gt;0),(J245-H245)/H245,"")</f>
        <v>0.17021276595744678</v>
      </c>
      <c r="L245" s="5"/>
      <c r="M245" s="8" t="str">
        <f>IF(AND(J245&gt;0,L245&gt;0),(L245-J245)/J245,IF(AND(H245&gt;0,L245&gt;0),(L245-H245)/H245,""))</f>
        <v/>
      </c>
      <c r="N245" s="6">
        <v>46104</v>
      </c>
      <c r="O245" s="5">
        <v>9.35</v>
      </c>
      <c r="P245" s="26">
        <f>IF(AND(L245&gt;0,O245&gt;0),(O245-L245)/L245,"")</f>
        <v>-0.15000000000000002</v>
      </c>
      <c r="Q245" s="9">
        <v>36</v>
      </c>
      <c r="R245" s="9">
        <v>12</v>
      </c>
      <c r="S245" s="9">
        <f>IF(N245&gt;0,TODAY()-N245,"")</f>
        <v>7</v>
      </c>
    </row>
    <row r="246" ht="17" customHeight="1" spans="1:19" x14ac:dyDescent="0.25">
      <c r="A246" s="11" t="s">
        <v>20</v>
      </c>
      <c r="B246" s="11" t="s">
        <v>430</v>
      </c>
      <c r="C246" s="11" t="s">
        <v>513</v>
      </c>
      <c r="D246" s="11" t="s">
        <v>514</v>
      </c>
      <c r="E246" s="12">
        <v>300</v>
      </c>
      <c r="F246" s="13">
        <v>11.166666666666666</v>
      </c>
      <c r="G246" s="14">
        <v>45755</v>
      </c>
      <c r="H246" s="13">
        <v>10</v>
      </c>
      <c r="I246" s="15" t="s">
        <v>24</v>
      </c>
      <c r="J246" s="13"/>
      <c r="K246" s="16" t="str">
        <f>IF(AND(H246&gt;0,J246&gt;0),(J246-H246)/H246,"")</f>
        <v/>
      </c>
      <c r="L246" s="13"/>
      <c r="M246" s="16" t="str">
        <f>IF(AND(J246&gt;0,L246&gt;0),(L246-J246)/J246,IF(AND(H246&gt;0,L246&gt;0),(L246-H246)/H246,""))</f>
        <v/>
      </c>
      <c r="N246" s="14">
        <v>46078</v>
      </c>
      <c r="O246" s="13">
        <v>13.5</v>
      </c>
      <c r="P246" s="23">
        <f>IF(AND(L246&gt;0,O246&gt;0),(O246-L246)/L246,"")</f>
        <v>0.35</v>
      </c>
      <c r="Q246" s="18">
        <v>162</v>
      </c>
      <c r="R246" s="18">
        <v>3</v>
      </c>
      <c r="S246" s="18">
        <f>IF(N246&gt;0,TODAY()-N246,"")</f>
        <v>33</v>
      </c>
    </row>
    <row r="247" ht="17" customHeight="1" spans="1:19" x14ac:dyDescent="0.25">
      <c r="A247" s="3" t="s">
        <v>20</v>
      </c>
      <c r="B247" s="3" t="s">
        <v>430</v>
      </c>
      <c r="C247" s="3" t="s">
        <v>515</v>
      </c>
      <c r="D247" s="3" t="s">
        <v>516</v>
      </c>
      <c r="E247" s="4">
        <v>388</v>
      </c>
      <c r="F247" s="5">
        <v>58.84020618556701</v>
      </c>
      <c r="G247" s="6">
        <v>45687</v>
      </c>
      <c r="H247" s="5">
        <v>55</v>
      </c>
      <c r="I247" s="7" t="s">
        <v>24</v>
      </c>
      <c r="J247" s="5"/>
      <c r="K247" s="8" t="str">
        <f>IF(AND(H247&gt;0,J247&gt;0),(J247-H247)/H247,"")</f>
        <v/>
      </c>
      <c r="L247" s="5"/>
      <c r="M247" s="8" t="str">
        <f>IF(AND(J247&gt;0,L247&gt;0),(L247-J247)/J247,IF(AND(H247&gt;0,L247&gt;0),(L247-H247)/H247,""))</f>
        <v/>
      </c>
      <c r="N247" s="6">
        <v>46078</v>
      </c>
      <c r="O247" s="5">
        <v>60</v>
      </c>
      <c r="P247" s="24">
        <f>IF(AND(L247&gt;0,O247&gt;0),(O247-L247)/L247,"")</f>
        <v>0.09090909090909091</v>
      </c>
      <c r="Q247" s="9">
        <v>56</v>
      </c>
      <c r="R247" s="9">
        <v>8</v>
      </c>
      <c r="S247" s="9">
        <f>IF(N247&gt;0,TODAY()-N247,"")</f>
        <v>33</v>
      </c>
    </row>
    <row r="248" ht="17" customHeight="1" spans="1:19" x14ac:dyDescent="0.25">
      <c r="A248" s="11" t="s">
        <v>20</v>
      </c>
      <c r="B248" s="11" t="s">
        <v>430</v>
      </c>
      <c r="C248" s="11" t="s">
        <v>517</v>
      </c>
      <c r="D248" s="11" t="s">
        <v>518</v>
      </c>
      <c r="E248" s="12">
        <v>10</v>
      </c>
      <c r="F248" s="13">
        <v>215</v>
      </c>
      <c r="G248" s="14">
        <v>46104</v>
      </c>
      <c r="H248" s="13">
        <v>215</v>
      </c>
      <c r="I248" s="15" t="s">
        <v>24</v>
      </c>
      <c r="J248" s="13"/>
      <c r="K248" s="16" t="str">
        <f>IF(AND(H248&gt;0,J248&gt;0),(J248-H248)/H248,"")</f>
        <v/>
      </c>
      <c r="L248" s="13"/>
      <c r="M248" s="16" t="str">
        <f>IF(AND(J248&gt;0,L248&gt;0),(L248-J248)/J248,IF(AND(H248&gt;0,L248&gt;0),(L248-H248)/H248,""))</f>
        <v/>
      </c>
      <c r="N248" s="14">
        <v>46104</v>
      </c>
      <c r="O248" s="13">
        <v>215</v>
      </c>
      <c r="P248" s="17">
        <f>IF(AND(L248&gt;0,O248&gt;0),(O248-L248)/L248,"")</f>
        <v>0</v>
      </c>
      <c r="Q248" s="18"/>
      <c r="R248" s="18">
        <v>1</v>
      </c>
      <c r="S248" s="18">
        <f>IF(N248&gt;0,TODAY()-N248,"")</f>
        <v>7</v>
      </c>
    </row>
    <row r="249" ht="17" customHeight="1" spans="1:19" x14ac:dyDescent="0.25">
      <c r="A249" s="3" t="s">
        <v>20</v>
      </c>
      <c r="B249" s="3" t="s">
        <v>430</v>
      </c>
      <c r="C249" s="3" t="s">
        <v>519</v>
      </c>
      <c r="D249" s="3" t="s">
        <v>520</v>
      </c>
      <c r="E249" s="4">
        <v>2</v>
      </c>
      <c r="F249" s="5">
        <v>130</v>
      </c>
      <c r="G249" s="6">
        <v>45687</v>
      </c>
      <c r="H249" s="5">
        <v>130</v>
      </c>
      <c r="I249" s="7" t="s">
        <v>24</v>
      </c>
      <c r="J249" s="5"/>
      <c r="K249" s="8" t="str">
        <f>IF(AND(H249&gt;0,J249&gt;0),(J249-H249)/H249,"")</f>
        <v/>
      </c>
      <c r="L249" s="5"/>
      <c r="M249" s="8" t="str">
        <f>IF(AND(J249&gt;0,L249&gt;0),(L249-J249)/J249,IF(AND(H249&gt;0,L249&gt;0),(L249-H249)/H249,""))</f>
        <v/>
      </c>
      <c r="N249" s="6">
        <v>45687</v>
      </c>
      <c r="O249" s="5">
        <v>130</v>
      </c>
      <c r="P249" s="8" t="str">
        <f>IF(AND(L249&gt;0,O249&gt;0),(O249-L249)/L249,"")</f>
        <v/>
      </c>
      <c r="Q249" s="9"/>
      <c r="R249" s="9">
        <v>1</v>
      </c>
      <c r="S249" s="10">
        <f>IF(N249&gt;0,TODAY()-N249,"")</f>
        <v>424</v>
      </c>
    </row>
    <row r="250" ht="17" customHeight="1" spans="1:19" x14ac:dyDescent="0.25">
      <c r="A250" s="11" t="s">
        <v>20</v>
      </c>
      <c r="B250" s="11" t="s">
        <v>430</v>
      </c>
      <c r="C250" s="11" t="s">
        <v>521</v>
      </c>
      <c r="D250" s="11" t="s">
        <v>522</v>
      </c>
      <c r="E250" s="12">
        <v>50</v>
      </c>
      <c r="F250" s="13">
        <v>20</v>
      </c>
      <c r="G250" s="14">
        <v>45840</v>
      </c>
      <c r="H250" s="13">
        <v>20</v>
      </c>
      <c r="I250" s="15" t="s">
        <v>24</v>
      </c>
      <c r="J250" s="13"/>
      <c r="K250" s="16" t="str">
        <f>IF(AND(H250&gt;0,J250&gt;0),(J250-H250)/H250,"")</f>
        <v/>
      </c>
      <c r="L250" s="13"/>
      <c r="M250" s="16" t="str">
        <f>IF(AND(J250&gt;0,L250&gt;0),(L250-J250)/J250,IF(AND(H250&gt;0,L250&gt;0),(L250-H250)/H250,""))</f>
        <v/>
      </c>
      <c r="N250" s="14">
        <v>45840</v>
      </c>
      <c r="O250" s="13">
        <v>20</v>
      </c>
      <c r="P250" s="16" t="str">
        <f>IF(AND(L250&gt;0,O250&gt;0),(O250-L250)/L250,"")</f>
        <v/>
      </c>
      <c r="Q250" s="18"/>
      <c r="R250" s="18">
        <v>1</v>
      </c>
      <c r="S250" s="10">
        <f>IF(N250&gt;0,TODAY()-N250,"")</f>
        <v>271</v>
      </c>
    </row>
    <row r="251" ht="17" customHeight="1" spans="1:19" x14ac:dyDescent="0.25">
      <c r="A251" s="3" t="s">
        <v>20</v>
      </c>
      <c r="B251" s="3" t="s">
        <v>430</v>
      </c>
      <c r="C251" s="3" t="s">
        <v>523</v>
      </c>
      <c r="D251" s="3" t="s">
        <v>524</v>
      </c>
      <c r="E251" s="4">
        <v>105</v>
      </c>
      <c r="F251" s="5">
        <v>21.761904761904763</v>
      </c>
      <c r="G251" s="6">
        <v>45708</v>
      </c>
      <c r="H251" s="5">
        <v>21</v>
      </c>
      <c r="I251" s="7" t="s">
        <v>57</v>
      </c>
      <c r="J251" s="5">
        <v>22</v>
      </c>
      <c r="K251" s="24">
        <f>IF(AND(H251&gt;0,J251&gt;0),(J251-H251)/H251,"")</f>
        <v>0.047619047619047616</v>
      </c>
      <c r="L251" s="5"/>
      <c r="M251" s="8" t="str">
        <f>IF(AND(J251&gt;0,L251&gt;0),(L251-J251)/J251,IF(AND(H251&gt;0,L251&gt;0),(L251-H251)/H251,""))</f>
        <v/>
      </c>
      <c r="N251" s="6">
        <v>45938</v>
      </c>
      <c r="O251" s="5">
        <v>22</v>
      </c>
      <c r="P251" s="8" t="str">
        <f>IF(AND(L251&gt;0,O251&gt;0),(O251-L251)/L251,"")</f>
        <v/>
      </c>
      <c r="Q251" s="9">
        <v>58</v>
      </c>
      <c r="R251" s="9">
        <v>5</v>
      </c>
      <c r="S251" s="21">
        <f>IF(N251&gt;0,TODAY()-N251,"")</f>
        <v>173</v>
      </c>
    </row>
    <row r="252" ht="17" customHeight="1" spans="1:19" x14ac:dyDescent="0.25">
      <c r="A252" s="11" t="s">
        <v>20</v>
      </c>
      <c r="B252" s="11" t="s">
        <v>430</v>
      </c>
      <c r="C252" s="11" t="s">
        <v>525</v>
      </c>
      <c r="D252" s="11" t="s">
        <v>526</v>
      </c>
      <c r="E252" s="12">
        <v>25</v>
      </c>
      <c r="F252" s="13">
        <v>34</v>
      </c>
      <c r="G252" s="14">
        <v>45708</v>
      </c>
      <c r="H252" s="13">
        <v>34</v>
      </c>
      <c r="I252" s="15" t="s">
        <v>24</v>
      </c>
      <c r="J252" s="13"/>
      <c r="K252" s="16" t="str">
        <f>IF(AND(H252&gt;0,J252&gt;0),(J252-H252)/H252,"")</f>
        <v/>
      </c>
      <c r="L252" s="13"/>
      <c r="M252" s="16" t="str">
        <f>IF(AND(J252&gt;0,L252&gt;0),(L252-J252)/J252,IF(AND(H252&gt;0,L252&gt;0),(L252-H252)/H252,""))</f>
        <v/>
      </c>
      <c r="N252" s="14">
        <v>45708</v>
      </c>
      <c r="O252" s="13">
        <v>34</v>
      </c>
      <c r="P252" s="16" t="str">
        <f>IF(AND(L252&gt;0,O252&gt;0),(O252-L252)/L252,"")</f>
        <v/>
      </c>
      <c r="Q252" s="18"/>
      <c r="R252" s="18">
        <v>1</v>
      </c>
      <c r="S252" s="10">
        <f>IF(N252&gt;0,TODAY()-N252,"")</f>
        <v>403</v>
      </c>
    </row>
    <row r="253" ht="17" customHeight="1" spans="1:19" x14ac:dyDescent="0.25">
      <c r="A253" s="3" t="s">
        <v>20</v>
      </c>
      <c r="B253" s="3" t="s">
        <v>430</v>
      </c>
      <c r="C253" s="3" t="s">
        <v>527</v>
      </c>
      <c r="D253" s="3" t="s">
        <v>528</v>
      </c>
      <c r="E253" s="4">
        <v>2000</v>
      </c>
      <c r="F253" s="5">
        <v>1.5211700000000001</v>
      </c>
      <c r="G253" s="6">
        <v>45790</v>
      </c>
      <c r="H253" s="5">
        <v>1.39</v>
      </c>
      <c r="I253" s="7" t="s">
        <v>24</v>
      </c>
      <c r="J253" s="5"/>
      <c r="K253" s="8" t="str">
        <f>IF(AND(H253&gt;0,J253&gt;0),(J253-H253)/H253,"")</f>
        <v/>
      </c>
      <c r="L253" s="5">
        <v>1.65</v>
      </c>
      <c r="M253" s="22">
        <f>IF(AND(J253&gt;0,L253&gt;0),(L253-J253)/J253,IF(AND(H253&gt;0,L253&gt;0),(L253-H253)/H253,""))</f>
        <v>0.18705035971223027</v>
      </c>
      <c r="N253" s="6">
        <v>46045</v>
      </c>
      <c r="O253" s="5">
        <v>1.65</v>
      </c>
      <c r="P253" s="8" t="str">
        <f>IF(AND(L253&gt;0,O253&gt;0),(O253-L253)/L253,"")</f>
        <v/>
      </c>
      <c r="Q253" s="9">
        <v>255</v>
      </c>
      <c r="R253" s="9">
        <v>2</v>
      </c>
      <c r="S253" s="19">
        <f>IF(N253&gt;0,TODAY()-N253,"")</f>
        <v>66</v>
      </c>
    </row>
    <row r="254" ht="17" customHeight="1" spans="1:19" x14ac:dyDescent="0.25">
      <c r="A254" s="11" t="s">
        <v>20</v>
      </c>
      <c r="B254" s="11" t="s">
        <v>430</v>
      </c>
      <c r="C254" s="11" t="s">
        <v>529</v>
      </c>
      <c r="D254" s="11" t="s">
        <v>530</v>
      </c>
      <c r="E254" s="12">
        <v>2000</v>
      </c>
      <c r="F254" s="13">
        <v>1.664185</v>
      </c>
      <c r="G254" s="14">
        <v>45790</v>
      </c>
      <c r="H254" s="13">
        <v>1.51</v>
      </c>
      <c r="I254" s="15" t="s">
        <v>24</v>
      </c>
      <c r="J254" s="13"/>
      <c r="K254" s="16" t="str">
        <f>IF(AND(H254&gt;0,J254&gt;0),(J254-H254)/H254,"")</f>
        <v/>
      </c>
      <c r="L254" s="13">
        <v>1.82</v>
      </c>
      <c r="M254" s="20">
        <f>IF(AND(J254&gt;0,L254&gt;0),(L254-J254)/J254,IF(AND(H254&gt;0,L254&gt;0),(L254-H254)/H254,""))</f>
        <v>0.20529801324503313</v>
      </c>
      <c r="N254" s="14">
        <v>46045</v>
      </c>
      <c r="O254" s="13">
        <v>1.82</v>
      </c>
      <c r="P254" s="16" t="str">
        <f>IF(AND(L254&gt;0,O254&gt;0),(O254-L254)/L254,"")</f>
        <v/>
      </c>
      <c r="Q254" s="18">
        <v>255</v>
      </c>
      <c r="R254" s="18">
        <v>2</v>
      </c>
      <c r="S254" s="19">
        <f>IF(N254&gt;0,TODAY()-N254,"")</f>
        <v>66</v>
      </c>
    </row>
    <row r="255" ht="17" customHeight="1" spans="1:19" x14ac:dyDescent="0.25">
      <c r="A255" s="3" t="s">
        <v>20</v>
      </c>
      <c r="B255" s="3" t="s">
        <v>430</v>
      </c>
      <c r="C255" s="3" t="s">
        <v>531</v>
      </c>
      <c r="D255" s="3" t="s">
        <v>532</v>
      </c>
      <c r="E255" s="4">
        <v>80</v>
      </c>
      <c r="F255" s="5">
        <v>100</v>
      </c>
      <c r="G255" s="6">
        <v>45721</v>
      </c>
      <c r="H255" s="5">
        <v>100</v>
      </c>
      <c r="I255" s="7" t="s">
        <v>24</v>
      </c>
      <c r="J255" s="5"/>
      <c r="K255" s="8" t="str">
        <f>IF(AND(H255&gt;0,J255&gt;0),(J255-H255)/H255,"")</f>
        <v/>
      </c>
      <c r="L255" s="5"/>
      <c r="M255" s="8" t="str">
        <f>IF(AND(J255&gt;0,L255&gt;0),(L255-J255)/J255,IF(AND(H255&gt;0,L255&gt;0),(L255-H255)/H255,""))</f>
        <v/>
      </c>
      <c r="N255" s="6">
        <v>45919</v>
      </c>
      <c r="O255" s="5">
        <v>100</v>
      </c>
      <c r="P255" s="8" t="str">
        <f>IF(AND(L255&gt;0,O255&gt;0),(O255-L255)/L255,"")</f>
        <v/>
      </c>
      <c r="Q255" s="9">
        <v>99</v>
      </c>
      <c r="R255" s="9">
        <v>3</v>
      </c>
      <c r="S255" s="10">
        <f>IF(N255&gt;0,TODAY()-N255,"")</f>
        <v>192</v>
      </c>
    </row>
    <row r="256" ht="17" customHeight="1" spans="1:19" x14ac:dyDescent="0.25">
      <c r="A256" s="11" t="s">
        <v>20</v>
      </c>
      <c r="B256" s="11" t="s">
        <v>430</v>
      </c>
      <c r="C256" s="11" t="s">
        <v>533</v>
      </c>
      <c r="D256" s="11" t="s">
        <v>534</v>
      </c>
      <c r="E256" s="12">
        <v>550</v>
      </c>
      <c r="F256" s="13">
        <v>2.4709090909090907</v>
      </c>
      <c r="G256" s="14">
        <v>45749</v>
      </c>
      <c r="H256" s="13">
        <v>2.42</v>
      </c>
      <c r="I256" s="15" t="s">
        <v>24</v>
      </c>
      <c r="J256" s="13"/>
      <c r="K256" s="16" t="str">
        <f>IF(AND(H256&gt;0,J256&gt;0),(J256-H256)/H256,"")</f>
        <v/>
      </c>
      <c r="L256" s="13"/>
      <c r="M256" s="16" t="str">
        <f>IF(AND(J256&gt;0,L256&gt;0),(L256-J256)/J256,IF(AND(H256&gt;0,L256&gt;0),(L256-H256)/H256,""))</f>
        <v/>
      </c>
      <c r="N256" s="14">
        <v>45919</v>
      </c>
      <c r="O256" s="13">
        <v>2.5</v>
      </c>
      <c r="P256" s="16" t="str">
        <f>IF(AND(L256&gt;0,O256&gt;0),(O256-L256)/L256,"")</f>
        <v/>
      </c>
      <c r="Q256" s="18">
        <v>57</v>
      </c>
      <c r="R256" s="18">
        <v>4</v>
      </c>
      <c r="S256" s="10">
        <f>IF(N256&gt;0,TODAY()-N256,"")</f>
        <v>192</v>
      </c>
    </row>
    <row r="257" ht="17" customHeight="1" spans="1:19" x14ac:dyDescent="0.25">
      <c r="A257" s="3" t="s">
        <v>20</v>
      </c>
      <c r="B257" s="3" t="s">
        <v>430</v>
      </c>
      <c r="C257" s="3" t="s">
        <v>535</v>
      </c>
      <c r="D257" s="3" t="s">
        <v>536</v>
      </c>
      <c r="E257" s="4">
        <v>450</v>
      </c>
      <c r="F257" s="5">
        <v>127.55555555555556</v>
      </c>
      <c r="G257" s="6">
        <v>45729</v>
      </c>
      <c r="H257" s="5">
        <v>105</v>
      </c>
      <c r="I257" s="7" t="s">
        <v>60</v>
      </c>
      <c r="J257" s="5">
        <v>115</v>
      </c>
      <c r="K257" s="24">
        <f>IF(AND(H257&gt;0,J257&gt;0),(J257-H257)/H257,"")</f>
        <v>0.09523809523809523</v>
      </c>
      <c r="L257" s="5">
        <v>140</v>
      </c>
      <c r="M257" s="22">
        <f>IF(AND(J257&gt;0,L257&gt;0),(L257-J257)/J257,IF(AND(H257&gt;0,L257&gt;0),(L257-H257)/H257,""))</f>
        <v>0.21739130434782608</v>
      </c>
      <c r="N257" s="6">
        <v>46104</v>
      </c>
      <c r="O257" s="5">
        <v>185</v>
      </c>
      <c r="P257" s="23">
        <f>IF(AND(L257&gt;0,O257&gt;0),(O257-L257)/L257,"")</f>
        <v>0.32142857142857145</v>
      </c>
      <c r="Q257" s="9">
        <v>42</v>
      </c>
      <c r="R257" s="9">
        <v>10</v>
      </c>
      <c r="S257" s="9">
        <f>IF(N257&gt;0,TODAY()-N257,"")</f>
        <v>7</v>
      </c>
    </row>
    <row r="258" ht="17" customHeight="1" spans="1:19" x14ac:dyDescent="0.25">
      <c r="A258" s="11" t="s">
        <v>20</v>
      </c>
      <c r="B258" s="11" t="s">
        <v>430</v>
      </c>
      <c r="C258" s="11" t="s">
        <v>537</v>
      </c>
      <c r="D258" s="11" t="s">
        <v>538</v>
      </c>
      <c r="E258" s="12">
        <v>270</v>
      </c>
      <c r="F258" s="13">
        <v>20.355555555555554</v>
      </c>
      <c r="G258" s="14">
        <v>45713</v>
      </c>
      <c r="H258" s="13">
        <v>18</v>
      </c>
      <c r="I258" s="15" t="s">
        <v>57</v>
      </c>
      <c r="J258" s="13">
        <v>22</v>
      </c>
      <c r="K258" s="20">
        <f>IF(AND(H258&gt;0,J258&gt;0),(J258-H258)/H258,"")</f>
        <v>0.2222222222222222</v>
      </c>
      <c r="L258" s="13"/>
      <c r="M258" s="16" t="str">
        <f>IF(AND(J258&gt;0,L258&gt;0),(L258-J258)/J258,IF(AND(H258&gt;0,L258&gt;0),(L258-H258)/H258,""))</f>
        <v/>
      </c>
      <c r="N258" s="14">
        <v>46078</v>
      </c>
      <c r="O258" s="13">
        <v>28</v>
      </c>
      <c r="P258" s="23">
        <f>IF(AND(L258&gt;0,O258&gt;0),(O258-L258)/L258,"")</f>
        <v>0.2727272727272727</v>
      </c>
      <c r="Q258" s="18">
        <v>73</v>
      </c>
      <c r="R258" s="18">
        <v>6</v>
      </c>
      <c r="S258" s="18">
        <f>IF(N258&gt;0,TODAY()-N258,"")</f>
        <v>33</v>
      </c>
    </row>
    <row r="259" ht="17" customHeight="1" spans="1:19" x14ac:dyDescent="0.25">
      <c r="A259" s="3" t="s">
        <v>20</v>
      </c>
      <c r="B259" s="3" t="s">
        <v>430</v>
      </c>
      <c r="C259" s="3" t="s">
        <v>539</v>
      </c>
      <c r="D259" s="3" t="s">
        <v>540</v>
      </c>
      <c r="E259" s="4">
        <v>1110</v>
      </c>
      <c r="F259" s="5">
        <v>4.893531531531531</v>
      </c>
      <c r="G259" s="6">
        <v>45700</v>
      </c>
      <c r="H259" s="5">
        <v>3.75</v>
      </c>
      <c r="I259" s="7" t="s">
        <v>60</v>
      </c>
      <c r="J259" s="5">
        <v>5</v>
      </c>
      <c r="K259" s="23">
        <f>IF(AND(H259&gt;0,J259&gt;0),(J259-H259)/H259,"")</f>
        <v>0.33333333333333326</v>
      </c>
      <c r="L259" s="5"/>
      <c r="M259" s="8" t="str">
        <f>IF(AND(J259&gt;0,L259&gt;0),(L259-J259)/J259,IF(AND(H259&gt;0,L259&gt;0),(L259-H259)/H259,""))</f>
        <v/>
      </c>
      <c r="N259" s="6">
        <v>46076</v>
      </c>
      <c r="O259" s="5">
        <v>5</v>
      </c>
      <c r="P259" s="24">
        <f>IF(AND(L259&gt;0,O259&gt;0),(O259-L259)/L259,"")</f>
        <v>0</v>
      </c>
      <c r="Q259" s="9">
        <v>75</v>
      </c>
      <c r="R259" s="9">
        <v>6</v>
      </c>
      <c r="S259" s="9">
        <f>IF(N259&gt;0,TODAY()-N259,"")</f>
        <v>35</v>
      </c>
    </row>
    <row r="260" ht="17" customHeight="1" spans="1:19" x14ac:dyDescent="0.25">
      <c r="A260" s="11" t="s">
        <v>20</v>
      </c>
      <c r="B260" s="11" t="s">
        <v>430</v>
      </c>
      <c r="C260" s="11" t="s">
        <v>541</v>
      </c>
      <c r="D260" s="11" t="s">
        <v>542</v>
      </c>
      <c r="E260" s="12">
        <v>600</v>
      </c>
      <c r="F260" s="13">
        <v>5.833333333333333</v>
      </c>
      <c r="G260" s="14">
        <v>45754</v>
      </c>
      <c r="H260" s="13">
        <v>9.09</v>
      </c>
      <c r="I260" s="15" t="s">
        <v>24</v>
      </c>
      <c r="J260" s="13"/>
      <c r="K260" s="16" t="str">
        <f>IF(AND(H260&gt;0,J260&gt;0),(J260-H260)/H260,"")</f>
        <v/>
      </c>
      <c r="L260" s="13"/>
      <c r="M260" s="16" t="str">
        <f>IF(AND(J260&gt;0,L260&gt;0),(L260-J260)/J260,IF(AND(H260&gt;0,L260&gt;0),(L260-H260)/H260,""))</f>
        <v/>
      </c>
      <c r="N260" s="14">
        <v>45918</v>
      </c>
      <c r="O260" s="13">
        <v>5</v>
      </c>
      <c r="P260" s="16" t="str">
        <f>IF(AND(L260&gt;0,O260&gt;0),(O260-L260)/L260,"")</f>
        <v/>
      </c>
      <c r="Q260" s="18">
        <v>82</v>
      </c>
      <c r="R260" s="18">
        <v>3</v>
      </c>
      <c r="S260" s="10">
        <f>IF(N260&gt;0,TODAY()-N260,"")</f>
        <v>193</v>
      </c>
    </row>
    <row r="261" ht="17" customHeight="1" spans="1:19" x14ac:dyDescent="0.25">
      <c r="A261" s="3" t="s">
        <v>20</v>
      </c>
      <c r="B261" s="3" t="s">
        <v>430</v>
      </c>
      <c r="C261" s="3" t="s">
        <v>543</v>
      </c>
      <c r="D261" s="3" t="s">
        <v>544</v>
      </c>
      <c r="E261" s="4">
        <v>100</v>
      </c>
      <c r="F261" s="5">
        <v>13.5</v>
      </c>
      <c r="G261" s="6">
        <v>46038</v>
      </c>
      <c r="H261" s="5">
        <v>13.5</v>
      </c>
      <c r="I261" s="7" t="s">
        <v>24</v>
      </c>
      <c r="J261" s="5"/>
      <c r="K261" s="8" t="str">
        <f>IF(AND(H261&gt;0,J261&gt;0),(J261-H261)/H261,"")</f>
        <v/>
      </c>
      <c r="L261" s="5">
        <v>13.5</v>
      </c>
      <c r="M261" s="24">
        <f>IF(AND(J261&gt;0,L261&gt;0),(L261-J261)/J261,IF(AND(H261&gt;0,L261&gt;0),(L261-H261)/H261,""))</f>
        <v>0</v>
      </c>
      <c r="N261" s="6">
        <v>46038</v>
      </c>
      <c r="O261" s="5">
        <v>13.5</v>
      </c>
      <c r="P261" s="8" t="str">
        <f>IF(AND(L261&gt;0,O261&gt;0),(O261-L261)/L261,"")</f>
        <v/>
      </c>
      <c r="Q261" s="9"/>
      <c r="R261" s="9">
        <v>1</v>
      </c>
      <c r="S261" s="19">
        <f>IF(N261&gt;0,TODAY()-N261,"")</f>
        <v>73</v>
      </c>
    </row>
    <row r="262" ht="17" customHeight="1" spans="1:19" x14ac:dyDescent="0.25">
      <c r="A262" s="11" t="s">
        <v>20</v>
      </c>
      <c r="B262" s="11" t="s">
        <v>430</v>
      </c>
      <c r="C262" s="11" t="s">
        <v>545</v>
      </c>
      <c r="D262" s="11" t="s">
        <v>546</v>
      </c>
      <c r="E262" s="12">
        <v>150</v>
      </c>
      <c r="F262" s="13">
        <v>59.75833333333333</v>
      </c>
      <c r="G262" s="14">
        <v>45825</v>
      </c>
      <c r="H262" s="13">
        <v>59</v>
      </c>
      <c r="I262" s="15" t="s">
        <v>57</v>
      </c>
      <c r="J262" s="13">
        <v>60</v>
      </c>
      <c r="K262" s="17">
        <f>IF(AND(H262&gt;0,J262&gt;0),(J262-H262)/H262,"")</f>
        <v>0.01694915254237288</v>
      </c>
      <c r="L262" s="13"/>
      <c r="M262" s="16" t="str">
        <f>IF(AND(J262&gt;0,L262&gt;0),(L262-J262)/J262,IF(AND(H262&gt;0,L262&gt;0),(L262-H262)/H262,""))</f>
        <v/>
      </c>
      <c r="N262" s="14">
        <v>45939</v>
      </c>
      <c r="O262" s="13">
        <v>60</v>
      </c>
      <c r="P262" s="16" t="str">
        <f>IF(AND(L262&gt;0,O262&gt;0),(O262-L262)/L262,"")</f>
        <v/>
      </c>
      <c r="Q262" s="18">
        <v>29</v>
      </c>
      <c r="R262" s="18">
        <v>5</v>
      </c>
      <c r="S262" s="21">
        <f>IF(N262&gt;0,TODAY()-N262,"")</f>
        <v>172</v>
      </c>
    </row>
    <row r="263" ht="17" customHeight="1" spans="1:19" x14ac:dyDescent="0.25">
      <c r="A263" s="3" t="s">
        <v>20</v>
      </c>
      <c r="B263" s="3" t="s">
        <v>430</v>
      </c>
      <c r="C263" s="3" t="s">
        <v>547</v>
      </c>
      <c r="D263" s="3" t="s">
        <v>548</v>
      </c>
      <c r="E263" s="4">
        <v>600</v>
      </c>
      <c r="F263" s="5">
        <v>5.5</v>
      </c>
      <c r="G263" s="6">
        <v>45665</v>
      </c>
      <c r="H263" s="5">
        <v>4.5</v>
      </c>
      <c r="I263" s="7" t="s">
        <v>24</v>
      </c>
      <c r="J263" s="5"/>
      <c r="K263" s="8" t="str">
        <f>IF(AND(H263&gt;0,J263&gt;0),(J263-H263)/H263,"")</f>
        <v/>
      </c>
      <c r="L263" s="5"/>
      <c r="M263" s="8" t="str">
        <f>IF(AND(J263&gt;0,L263&gt;0),(L263-J263)/J263,IF(AND(H263&gt;0,L263&gt;0),(L263-H263)/H263,""))</f>
        <v/>
      </c>
      <c r="N263" s="6">
        <v>46078</v>
      </c>
      <c r="O263" s="5">
        <v>6</v>
      </c>
      <c r="P263" s="23">
        <f>IF(AND(L263&gt;0,O263&gt;0),(O263-L263)/L263,"")</f>
        <v>0.33333333333333326</v>
      </c>
      <c r="Q263" s="9">
        <v>207</v>
      </c>
      <c r="R263" s="9">
        <v>3</v>
      </c>
      <c r="S263" s="9">
        <f>IF(N263&gt;0,TODAY()-N263,"")</f>
        <v>33</v>
      </c>
    </row>
    <row r="264" ht="17" customHeight="1" spans="1:19" x14ac:dyDescent="0.25">
      <c r="A264" s="11" t="s">
        <v>20</v>
      </c>
      <c r="B264" s="11" t="s">
        <v>430</v>
      </c>
      <c r="C264" s="11" t="s">
        <v>549</v>
      </c>
      <c r="D264" s="11" t="s">
        <v>550</v>
      </c>
      <c r="E264" s="12">
        <v>70</v>
      </c>
      <c r="F264" s="13">
        <v>24.428571428571427</v>
      </c>
      <c r="G264" s="14">
        <v>45726</v>
      </c>
      <c r="H264" s="13">
        <v>18</v>
      </c>
      <c r="I264" s="15" t="s">
        <v>24</v>
      </c>
      <c r="J264" s="13"/>
      <c r="K264" s="16" t="str">
        <f>IF(AND(H264&gt;0,J264&gt;0),(J264-H264)/H264,"")</f>
        <v/>
      </c>
      <c r="L264" s="13"/>
      <c r="M264" s="16" t="str">
        <f>IF(AND(J264&gt;0,L264&gt;0),(L264-J264)/J264,IF(AND(H264&gt;0,L264&gt;0),(L264-H264)/H264,""))</f>
        <v/>
      </c>
      <c r="N264" s="14">
        <v>46059</v>
      </c>
      <c r="O264" s="13">
        <v>31.5</v>
      </c>
      <c r="P264" s="23">
        <f>IF(AND(L264&gt;0,O264&gt;0),(O264-L264)/L264,"")</f>
        <v>0.75</v>
      </c>
      <c r="Q264" s="18">
        <v>167</v>
      </c>
      <c r="R264" s="18">
        <v>3</v>
      </c>
      <c r="S264" s="18">
        <f>IF(N264&gt;0,TODAY()-N264,"")</f>
        <v>52</v>
      </c>
    </row>
    <row r="265" ht="17" customHeight="1" spans="1:19" x14ac:dyDescent="0.25">
      <c r="A265" s="3" t="s">
        <v>20</v>
      </c>
      <c r="B265" s="3" t="s">
        <v>430</v>
      </c>
      <c r="C265" s="3" t="s">
        <v>551</v>
      </c>
      <c r="D265" s="3" t="s">
        <v>552</v>
      </c>
      <c r="E265" s="4">
        <v>200</v>
      </c>
      <c r="F265" s="5">
        <v>11.5</v>
      </c>
      <c r="G265" s="6">
        <v>45713</v>
      </c>
      <c r="H265" s="5">
        <v>9.5</v>
      </c>
      <c r="I265" s="7" t="s">
        <v>24</v>
      </c>
      <c r="J265" s="5"/>
      <c r="K265" s="8" t="str">
        <f>IF(AND(H265&gt;0,J265&gt;0),(J265-H265)/H265,"")</f>
        <v/>
      </c>
      <c r="L265" s="5"/>
      <c r="M265" s="8" t="str">
        <f>IF(AND(J265&gt;0,L265&gt;0),(L265-J265)/J265,IF(AND(H265&gt;0,L265&gt;0),(L265-H265)/H265,""))</f>
        <v/>
      </c>
      <c r="N265" s="6">
        <v>46062</v>
      </c>
      <c r="O265" s="5">
        <v>13.5</v>
      </c>
      <c r="P265" s="23">
        <f>IF(AND(L265&gt;0,O265&gt;0),(O265-L265)/L265,"")</f>
        <v>0.42105263157894735</v>
      </c>
      <c r="Q265" s="9">
        <v>349</v>
      </c>
      <c r="R265" s="9">
        <v>2</v>
      </c>
      <c r="S265" s="9">
        <f>IF(N265&gt;0,TODAY()-N265,"")</f>
        <v>49</v>
      </c>
    </row>
    <row r="266" ht="17" customHeight="1" spans="1:19" x14ac:dyDescent="0.25">
      <c r="A266" s="11" t="s">
        <v>20</v>
      </c>
      <c r="B266" s="11" t="s">
        <v>430</v>
      </c>
      <c r="C266" s="11" t="s">
        <v>553</v>
      </c>
      <c r="D266" s="11" t="s">
        <v>554</v>
      </c>
      <c r="E266" s="12">
        <v>300</v>
      </c>
      <c r="F266" s="13">
        <v>15</v>
      </c>
      <c r="G266" s="14">
        <v>45800</v>
      </c>
      <c r="H266" s="13">
        <v>12</v>
      </c>
      <c r="I266" s="15" t="s">
        <v>24</v>
      </c>
      <c r="J266" s="13"/>
      <c r="K266" s="16" t="str">
        <f>IF(AND(H266&gt;0,J266&gt;0),(J266-H266)/H266,"")</f>
        <v/>
      </c>
      <c r="L266" s="13"/>
      <c r="M266" s="16" t="str">
        <f>IF(AND(J266&gt;0,L266&gt;0),(L266-J266)/J266,IF(AND(H266&gt;0,L266&gt;0),(L266-H266)/H266,""))</f>
        <v/>
      </c>
      <c r="N266" s="14">
        <v>46104</v>
      </c>
      <c r="O266" s="13">
        <v>16.5</v>
      </c>
      <c r="P266" s="23">
        <f>IF(AND(L266&gt;0,O266&gt;0),(O266-L266)/L266,"")</f>
        <v>0.375</v>
      </c>
      <c r="Q266" s="18">
        <v>304</v>
      </c>
      <c r="R266" s="18">
        <v>2</v>
      </c>
      <c r="S266" s="18">
        <f>IF(N266&gt;0,TODAY()-N266,"")</f>
        <v>7</v>
      </c>
    </row>
    <row r="267" ht="17" customHeight="1" spans="1:19" x14ac:dyDescent="0.25">
      <c r="A267" s="3" t="s">
        <v>20</v>
      </c>
      <c r="B267" s="3" t="s">
        <v>430</v>
      </c>
      <c r="C267" s="3" t="s">
        <v>555</v>
      </c>
      <c r="D267" s="3" t="s">
        <v>556</v>
      </c>
      <c r="E267" s="4">
        <v>300</v>
      </c>
      <c r="F267" s="5">
        <v>11.666666666666666</v>
      </c>
      <c r="G267" s="6">
        <v>45713</v>
      </c>
      <c r="H267" s="5">
        <v>9.5</v>
      </c>
      <c r="I267" s="7" t="s">
        <v>24</v>
      </c>
      <c r="J267" s="5"/>
      <c r="K267" s="8" t="str">
        <f>IF(AND(H267&gt;0,J267&gt;0),(J267-H267)/H267,"")</f>
        <v/>
      </c>
      <c r="L267" s="5"/>
      <c r="M267" s="8" t="str">
        <f>IF(AND(J267&gt;0,L267&gt;0),(L267-J267)/J267,IF(AND(H267&gt;0,L267&gt;0),(L267-H267)/H267,""))</f>
        <v/>
      </c>
      <c r="N267" s="6">
        <v>46062</v>
      </c>
      <c r="O267" s="5">
        <v>13.5</v>
      </c>
      <c r="P267" s="23">
        <f>IF(AND(L267&gt;0,O267&gt;0),(O267-L267)/L267,"")</f>
        <v>0.42105263157894735</v>
      </c>
      <c r="Q267" s="9">
        <v>175</v>
      </c>
      <c r="R267" s="9">
        <v>3</v>
      </c>
      <c r="S267" s="9">
        <f>IF(N267&gt;0,TODAY()-N267,"")</f>
        <v>49</v>
      </c>
    </row>
    <row r="268" ht="17" customHeight="1" spans="1:19" x14ac:dyDescent="0.25">
      <c r="A268" s="11" t="s">
        <v>20</v>
      </c>
      <c r="B268" s="11" t="s">
        <v>430</v>
      </c>
      <c r="C268" s="11" t="s">
        <v>557</v>
      </c>
      <c r="D268" s="11" t="s">
        <v>558</v>
      </c>
      <c r="E268" s="12">
        <v>17</v>
      </c>
      <c r="F268" s="13">
        <v>50</v>
      </c>
      <c r="G268" s="14">
        <v>45726</v>
      </c>
      <c r="H268" s="13">
        <v>50</v>
      </c>
      <c r="I268" s="15" t="s">
        <v>24</v>
      </c>
      <c r="J268" s="13"/>
      <c r="K268" s="16" t="str">
        <f>IF(AND(H268&gt;0,J268&gt;0),(J268-H268)/H268,"")</f>
        <v/>
      </c>
      <c r="L268" s="13"/>
      <c r="M268" s="16" t="str">
        <f>IF(AND(J268&gt;0,L268&gt;0),(L268-J268)/J268,IF(AND(H268&gt;0,L268&gt;0),(L268-H268)/H268,""))</f>
        <v/>
      </c>
      <c r="N268" s="14">
        <v>46064</v>
      </c>
      <c r="O268" s="13">
        <v>50</v>
      </c>
      <c r="P268" s="17">
        <f>IF(AND(L268&gt;0,O268&gt;0),(O268-L268)/L268,"")</f>
        <v>0</v>
      </c>
      <c r="Q268" s="18">
        <v>338</v>
      </c>
      <c r="R268" s="18">
        <v>2</v>
      </c>
      <c r="S268" s="18">
        <f>IF(N268&gt;0,TODAY()-N268,"")</f>
        <v>47</v>
      </c>
    </row>
    <row r="269" ht="17" customHeight="1" spans="1:19" x14ac:dyDescent="0.25">
      <c r="A269" s="3" t="s">
        <v>20</v>
      </c>
      <c r="B269" s="3" t="s">
        <v>430</v>
      </c>
      <c r="C269" s="3" t="s">
        <v>559</v>
      </c>
      <c r="D269" s="3" t="s">
        <v>560</v>
      </c>
      <c r="E269" s="4">
        <v>500</v>
      </c>
      <c r="F269" s="5">
        <v>0.4125</v>
      </c>
      <c r="G269" s="6">
        <v>45743</v>
      </c>
      <c r="H269" s="5">
        <v>0.41</v>
      </c>
      <c r="I269" s="7" t="s">
        <v>24</v>
      </c>
      <c r="J269" s="5"/>
      <c r="K269" s="8" t="str">
        <f>IF(AND(H269&gt;0,J269&gt;0),(J269-H269)/H269,"")</f>
        <v/>
      </c>
      <c r="L269" s="5"/>
      <c r="M269" s="8" t="str">
        <f>IF(AND(J269&gt;0,L269&gt;0),(L269-J269)/J269,IF(AND(H269&gt;0,L269&gt;0),(L269-H269)/H269,""))</f>
        <v/>
      </c>
      <c r="N269" s="6">
        <v>45743</v>
      </c>
      <c r="O269" s="5">
        <v>0.41</v>
      </c>
      <c r="P269" s="8" t="str">
        <f>IF(AND(L269&gt;0,O269&gt;0),(O269-L269)/L269,"")</f>
        <v/>
      </c>
      <c r="Q269" s="9"/>
      <c r="R269" s="9">
        <v>1</v>
      </c>
      <c r="S269" s="10">
        <f>IF(N269&gt;0,TODAY()-N269,"")</f>
        <v>368</v>
      </c>
    </row>
    <row r="270" ht="17" customHeight="1" spans="1:19" x14ac:dyDescent="0.25">
      <c r="A270" s="11" t="s">
        <v>20</v>
      </c>
      <c r="B270" s="11" t="s">
        <v>430</v>
      </c>
      <c r="C270" s="11" t="s">
        <v>561</v>
      </c>
      <c r="D270" s="11" t="s">
        <v>562</v>
      </c>
      <c r="E270" s="12">
        <v>50</v>
      </c>
      <c r="F270" s="13">
        <v>140</v>
      </c>
      <c r="G270" s="14">
        <v>45992</v>
      </c>
      <c r="H270" s="13">
        <v>140</v>
      </c>
      <c r="I270" s="15" t="s">
        <v>54</v>
      </c>
      <c r="J270" s="13">
        <v>140</v>
      </c>
      <c r="K270" s="17">
        <f>IF(AND(H270&gt;0,J270&gt;0),(J270-H270)/H270,"")</f>
        <v>0</v>
      </c>
      <c r="L270" s="13"/>
      <c r="M270" s="16" t="str">
        <f>IF(AND(J270&gt;0,L270&gt;0),(L270-J270)/J270,IF(AND(H270&gt;0,L270&gt;0),(L270-H270)/H270,""))</f>
        <v/>
      </c>
      <c r="N270" s="14">
        <v>45992</v>
      </c>
      <c r="O270" s="13">
        <v>140</v>
      </c>
      <c r="P270" s="16" t="str">
        <f>IF(AND(L270&gt;0,O270&gt;0),(O270-L270)/L270,"")</f>
        <v/>
      </c>
      <c r="Q270" s="18"/>
      <c r="R270" s="18">
        <v>1</v>
      </c>
      <c r="S270" s="21">
        <f>IF(N270&gt;0,TODAY()-N270,"")</f>
        <v>119</v>
      </c>
    </row>
    <row r="271" ht="17" customHeight="1" spans="1:19" x14ac:dyDescent="0.25">
      <c r="A271" s="3" t="s">
        <v>20</v>
      </c>
      <c r="B271" s="3" t="s">
        <v>430</v>
      </c>
      <c r="C271" s="3" t="s">
        <v>563</v>
      </c>
      <c r="D271" s="3" t="s">
        <v>564</v>
      </c>
      <c r="E271" s="4">
        <v>100</v>
      </c>
      <c r="F271" s="5">
        <v>7</v>
      </c>
      <c r="G271" s="6">
        <v>45687</v>
      </c>
      <c r="H271" s="5">
        <v>7</v>
      </c>
      <c r="I271" s="7" t="s">
        <v>24</v>
      </c>
      <c r="J271" s="5"/>
      <c r="K271" s="8" t="str">
        <f>IF(AND(H271&gt;0,J271&gt;0),(J271-H271)/H271,"")</f>
        <v/>
      </c>
      <c r="L271" s="5"/>
      <c r="M271" s="8" t="str">
        <f>IF(AND(J271&gt;0,L271&gt;0),(L271-J271)/J271,IF(AND(H271&gt;0,L271&gt;0),(L271-H271)/H271,""))</f>
        <v/>
      </c>
      <c r="N271" s="6">
        <v>45687</v>
      </c>
      <c r="O271" s="5">
        <v>7</v>
      </c>
      <c r="P271" s="8" t="str">
        <f>IF(AND(L271&gt;0,O271&gt;0),(O271-L271)/L271,"")</f>
        <v/>
      </c>
      <c r="Q271" s="9"/>
      <c r="R271" s="9">
        <v>1</v>
      </c>
      <c r="S271" s="10">
        <f>IF(N271&gt;0,TODAY()-N271,"")</f>
        <v>424</v>
      </c>
    </row>
    <row r="272" ht="17" customHeight="1" spans="1:19" x14ac:dyDescent="0.25">
      <c r="A272" s="11" t="s">
        <v>20</v>
      </c>
      <c r="B272" s="11" t="s">
        <v>430</v>
      </c>
      <c r="C272" s="11" t="s">
        <v>565</v>
      </c>
      <c r="D272" s="11" t="s">
        <v>566</v>
      </c>
      <c r="E272" s="12">
        <v>48</v>
      </c>
      <c r="F272" s="13">
        <v>25</v>
      </c>
      <c r="G272" s="14">
        <v>45888</v>
      </c>
      <c r="H272" s="13">
        <v>25</v>
      </c>
      <c r="I272" s="15" t="s">
        <v>24</v>
      </c>
      <c r="J272" s="13"/>
      <c r="K272" s="16" t="str">
        <f>IF(AND(H272&gt;0,J272&gt;0),(J272-H272)/H272,"")</f>
        <v/>
      </c>
      <c r="L272" s="13"/>
      <c r="M272" s="16" t="str">
        <f>IF(AND(J272&gt;0,L272&gt;0),(L272-J272)/J272,IF(AND(H272&gt;0,L272&gt;0),(L272-H272)/H272,""))</f>
        <v/>
      </c>
      <c r="N272" s="14">
        <v>45888</v>
      </c>
      <c r="O272" s="13">
        <v>25</v>
      </c>
      <c r="P272" s="16" t="str">
        <f>IF(AND(L272&gt;0,O272&gt;0),(O272-L272)/L272,"")</f>
        <v/>
      </c>
      <c r="Q272" s="18"/>
      <c r="R272" s="18">
        <v>1</v>
      </c>
      <c r="S272" s="10">
        <f>IF(N272&gt;0,TODAY()-N272,"")</f>
        <v>223</v>
      </c>
    </row>
    <row r="273" ht="17" customHeight="1" spans="1:19" x14ac:dyDescent="0.25">
      <c r="A273" s="3" t="s">
        <v>20</v>
      </c>
      <c r="B273" s="3" t="s">
        <v>430</v>
      </c>
      <c r="C273" s="3" t="s">
        <v>567</v>
      </c>
      <c r="D273" s="3" t="s">
        <v>568</v>
      </c>
      <c r="E273" s="4">
        <v>293</v>
      </c>
      <c r="F273" s="5">
        <v>188.16382252559728</v>
      </c>
      <c r="G273" s="6">
        <v>45666</v>
      </c>
      <c r="H273" s="5">
        <v>140</v>
      </c>
      <c r="I273" s="7" t="s">
        <v>24</v>
      </c>
      <c r="J273" s="5"/>
      <c r="K273" s="8" t="str">
        <f>IF(AND(H273&gt;0,J273&gt;0),(J273-H273)/H273,"")</f>
        <v/>
      </c>
      <c r="L273" s="5">
        <v>220</v>
      </c>
      <c r="M273" s="23">
        <f>IF(AND(J273&gt;0,L273&gt;0),(L273-J273)/J273,IF(AND(H273&gt;0,L273&gt;0),(L273-H273)/H273,""))</f>
        <v>0.5714285714285714</v>
      </c>
      <c r="N273" s="6">
        <v>46078</v>
      </c>
      <c r="O273" s="5">
        <v>226.58</v>
      </c>
      <c r="P273" s="24">
        <f>IF(AND(L273&gt;0,O273&gt;0),(O273-L273)/L273,"")</f>
        <v>0.029909090909090965</v>
      </c>
      <c r="Q273" s="9">
        <v>52</v>
      </c>
      <c r="R273" s="9">
        <v>9</v>
      </c>
      <c r="S273" s="9">
        <f>IF(N273&gt;0,TODAY()-N273,"")</f>
        <v>33</v>
      </c>
    </row>
    <row r="274" ht="17" customHeight="1" spans="1:19" x14ac:dyDescent="0.25">
      <c r="A274" s="11" t="s">
        <v>20</v>
      </c>
      <c r="B274" s="11" t="s">
        <v>430</v>
      </c>
      <c r="C274" s="11" t="s">
        <v>569</v>
      </c>
      <c r="D274" s="11" t="s">
        <v>570</v>
      </c>
      <c r="E274" s="12">
        <v>32</v>
      </c>
      <c r="F274" s="13">
        <v>62.1875</v>
      </c>
      <c r="G274" s="14">
        <v>45911</v>
      </c>
      <c r="H274" s="13">
        <v>65</v>
      </c>
      <c r="I274" s="15" t="s">
        <v>60</v>
      </c>
      <c r="J274" s="13">
        <v>65</v>
      </c>
      <c r="K274" s="17">
        <f>IF(AND(H274&gt;0,J274&gt;0),(J274-H274)/H274,"")</f>
        <v>0</v>
      </c>
      <c r="L274" s="13"/>
      <c r="M274" s="16" t="str">
        <f>IF(AND(J274&gt;0,L274&gt;0),(L274-J274)/J274,IF(AND(H274&gt;0,L274&gt;0),(L274-H274)/H274,""))</f>
        <v/>
      </c>
      <c r="N274" s="14">
        <v>45979</v>
      </c>
      <c r="O274" s="13">
        <v>65</v>
      </c>
      <c r="P274" s="16" t="str">
        <f>IF(AND(L274&gt;0,O274&gt;0),(O274-L274)/L274,"")</f>
        <v/>
      </c>
      <c r="Q274" s="18">
        <v>23</v>
      </c>
      <c r="R274" s="18">
        <v>4</v>
      </c>
      <c r="S274" s="21">
        <f>IF(N274&gt;0,TODAY()-N274,"")</f>
        <v>132</v>
      </c>
    </row>
    <row r="275" ht="17" customHeight="1" spans="1:19" x14ac:dyDescent="0.25">
      <c r="A275" s="3" t="s">
        <v>20</v>
      </c>
      <c r="B275" s="3" t="s">
        <v>430</v>
      </c>
      <c r="C275" s="3" t="s">
        <v>571</v>
      </c>
      <c r="D275" s="3" t="s">
        <v>572</v>
      </c>
      <c r="E275" s="4">
        <v>300</v>
      </c>
      <c r="F275" s="5">
        <v>30</v>
      </c>
      <c r="G275" s="6">
        <v>45695</v>
      </c>
      <c r="H275" s="5">
        <v>30</v>
      </c>
      <c r="I275" s="7" t="s">
        <v>24</v>
      </c>
      <c r="J275" s="5"/>
      <c r="K275" s="8" t="str">
        <f>IF(AND(H275&gt;0,J275&gt;0),(J275-H275)/H275,"")</f>
        <v/>
      </c>
      <c r="L275" s="5"/>
      <c r="M275" s="8" t="str">
        <f>IF(AND(J275&gt;0,L275&gt;0),(L275-J275)/J275,IF(AND(H275&gt;0,L275&gt;0),(L275-H275)/H275,""))</f>
        <v/>
      </c>
      <c r="N275" s="6">
        <v>45775</v>
      </c>
      <c r="O275" s="5">
        <v>30</v>
      </c>
      <c r="P275" s="8" t="str">
        <f>IF(AND(L275&gt;0,O275&gt;0),(O275-L275)/L275,"")</f>
        <v/>
      </c>
      <c r="Q275" s="9">
        <v>80</v>
      </c>
      <c r="R275" s="9">
        <v>2</v>
      </c>
      <c r="S275" s="10">
        <f>IF(N275&gt;0,TODAY()-N275,"")</f>
        <v>336</v>
      </c>
    </row>
    <row r="276" ht="17" customHeight="1" spans="1:19" x14ac:dyDescent="0.25">
      <c r="A276" s="11" t="s">
        <v>20</v>
      </c>
      <c r="B276" s="11" t="s">
        <v>430</v>
      </c>
      <c r="C276" s="11" t="s">
        <v>573</v>
      </c>
      <c r="D276" s="11" t="s">
        <v>574</v>
      </c>
      <c r="E276" s="12">
        <v>40</v>
      </c>
      <c r="F276" s="13">
        <v>198.29775</v>
      </c>
      <c r="G276" s="14">
        <v>45819</v>
      </c>
      <c r="H276" s="13">
        <v>190.34</v>
      </c>
      <c r="I276" s="15" t="s">
        <v>24</v>
      </c>
      <c r="J276" s="13"/>
      <c r="K276" s="16" t="str">
        <f>IF(AND(H276&gt;0,J276&gt;0),(J276-H276)/H276,"")</f>
        <v/>
      </c>
      <c r="L276" s="13"/>
      <c r="M276" s="16" t="str">
        <f>IF(AND(J276&gt;0,L276&gt;0),(L276-J276)/J276,IF(AND(H276&gt;0,L276&gt;0),(L276-H276)/H276,""))</f>
        <v/>
      </c>
      <c r="N276" s="14">
        <v>45911</v>
      </c>
      <c r="O276" s="13">
        <v>206.26</v>
      </c>
      <c r="P276" s="16" t="str">
        <f>IF(AND(L276&gt;0,O276&gt;0),(O276-L276)/L276,"")</f>
        <v/>
      </c>
      <c r="Q276" s="18">
        <v>92</v>
      </c>
      <c r="R276" s="18">
        <v>2</v>
      </c>
      <c r="S276" s="10">
        <f>IF(N276&gt;0,TODAY()-N276,"")</f>
        <v>200</v>
      </c>
    </row>
    <row r="277" ht="17" customHeight="1" spans="1:19" x14ac:dyDescent="0.25">
      <c r="A277" s="3" t="s">
        <v>20</v>
      </c>
      <c r="B277" s="3" t="s">
        <v>430</v>
      </c>
      <c r="C277" s="3" t="s">
        <v>575</v>
      </c>
      <c r="D277" s="3" t="s">
        <v>576</v>
      </c>
      <c r="E277" s="4">
        <v>297</v>
      </c>
      <c r="F277" s="5">
        <v>132.71343434343433</v>
      </c>
      <c r="G277" s="6">
        <v>45688</v>
      </c>
      <c r="H277" s="5">
        <v>111.75</v>
      </c>
      <c r="I277" s="7" t="s">
        <v>60</v>
      </c>
      <c r="J277" s="5">
        <v>150</v>
      </c>
      <c r="K277" s="23">
        <f>IF(AND(H277&gt;0,J277&gt;0),(J277-H277)/H277,"")</f>
        <v>0.3422818791946309</v>
      </c>
      <c r="L277" s="5"/>
      <c r="M277" s="8" t="str">
        <f>IF(AND(J277&gt;0,L277&gt;0),(L277-J277)/J277,IF(AND(H277&gt;0,L277&gt;0),(L277-H277)/H277,""))</f>
        <v/>
      </c>
      <c r="N277" s="6">
        <v>45979</v>
      </c>
      <c r="O277" s="5">
        <v>150</v>
      </c>
      <c r="P277" s="8" t="str">
        <f>IF(AND(L277&gt;0,O277&gt;0),(O277-L277)/L277,"")</f>
        <v/>
      </c>
      <c r="Q277" s="9">
        <v>36</v>
      </c>
      <c r="R277" s="9">
        <v>9</v>
      </c>
      <c r="S277" s="21">
        <f>IF(N277&gt;0,TODAY()-N277,"")</f>
        <v>132</v>
      </c>
    </row>
    <row r="278" ht="17" customHeight="1" spans="1:19" x14ac:dyDescent="0.25">
      <c r="A278" s="11" t="s">
        <v>20</v>
      </c>
      <c r="B278" s="11" t="s">
        <v>430</v>
      </c>
      <c r="C278" s="11" t="s">
        <v>577</v>
      </c>
      <c r="D278" s="11" t="s">
        <v>578</v>
      </c>
      <c r="E278" s="12">
        <v>150</v>
      </c>
      <c r="F278" s="13">
        <v>17</v>
      </c>
      <c r="G278" s="14">
        <v>45845</v>
      </c>
      <c r="H278" s="13">
        <v>17</v>
      </c>
      <c r="I278" s="15" t="s">
        <v>60</v>
      </c>
      <c r="J278" s="13">
        <v>17</v>
      </c>
      <c r="K278" s="17">
        <f>IF(AND(H278&gt;0,J278&gt;0),(J278-H278)/H278,"")</f>
        <v>0</v>
      </c>
      <c r="L278" s="13"/>
      <c r="M278" s="16" t="str">
        <f>IF(AND(J278&gt;0,L278&gt;0),(L278-J278)/J278,IF(AND(H278&gt;0,L278&gt;0),(L278-H278)/H278,""))</f>
        <v/>
      </c>
      <c r="N278" s="14">
        <v>45966</v>
      </c>
      <c r="O278" s="13">
        <v>17</v>
      </c>
      <c r="P278" s="16" t="str">
        <f>IF(AND(L278&gt;0,O278&gt;0),(O278-L278)/L278,"")</f>
        <v/>
      </c>
      <c r="Q278" s="18">
        <v>121</v>
      </c>
      <c r="R278" s="18">
        <v>2</v>
      </c>
      <c r="S278" s="21">
        <f>IF(N278&gt;0,TODAY()-N278,"")</f>
        <v>145</v>
      </c>
    </row>
    <row r="279" ht="17" customHeight="1" spans="1:19" x14ac:dyDescent="0.25">
      <c r="A279" s="3" t="s">
        <v>20</v>
      </c>
      <c r="B279" s="3" t="s">
        <v>430</v>
      </c>
      <c r="C279" s="3" t="s">
        <v>579</v>
      </c>
      <c r="D279" s="3" t="s">
        <v>580</v>
      </c>
      <c r="E279" s="4">
        <v>100</v>
      </c>
      <c r="F279" s="5">
        <v>8</v>
      </c>
      <c r="G279" s="6">
        <v>46027</v>
      </c>
      <c r="H279" s="5">
        <v>8</v>
      </c>
      <c r="I279" s="7" t="s">
        <v>24</v>
      </c>
      <c r="J279" s="5"/>
      <c r="K279" s="8" t="str">
        <f>IF(AND(H279&gt;0,J279&gt;0),(J279-H279)/H279,"")</f>
        <v/>
      </c>
      <c r="L279" s="5">
        <v>8</v>
      </c>
      <c r="M279" s="24">
        <f>IF(AND(J279&gt;0,L279&gt;0),(L279-J279)/J279,IF(AND(H279&gt;0,L279&gt;0),(L279-H279)/H279,""))</f>
        <v>0</v>
      </c>
      <c r="N279" s="6">
        <v>46027</v>
      </c>
      <c r="O279" s="5">
        <v>8</v>
      </c>
      <c r="P279" s="8" t="str">
        <f>IF(AND(L279&gt;0,O279&gt;0),(O279-L279)/L279,"")</f>
        <v/>
      </c>
      <c r="Q279" s="9"/>
      <c r="R279" s="9">
        <v>1</v>
      </c>
      <c r="S279" s="19">
        <f>IF(N279&gt;0,TODAY()-N279,"")</f>
        <v>84</v>
      </c>
    </row>
    <row r="280" ht="17" customHeight="1" spans="1:19" x14ac:dyDescent="0.25">
      <c r="A280" s="11" t="s">
        <v>20</v>
      </c>
      <c r="B280" s="11" t="s">
        <v>430</v>
      </c>
      <c r="C280" s="11" t="s">
        <v>581</v>
      </c>
      <c r="D280" s="11" t="s">
        <v>582</v>
      </c>
      <c r="E280" s="12">
        <v>36</v>
      </c>
      <c r="F280" s="13">
        <v>160.88</v>
      </c>
      <c r="G280" s="14">
        <v>45693</v>
      </c>
      <c r="H280" s="13">
        <v>160.88</v>
      </c>
      <c r="I280" s="15" t="s">
        <v>24</v>
      </c>
      <c r="J280" s="13"/>
      <c r="K280" s="16" t="str">
        <f>IF(AND(H280&gt;0,J280&gt;0),(J280-H280)/H280,"")</f>
        <v/>
      </c>
      <c r="L280" s="13"/>
      <c r="M280" s="16" t="str">
        <f>IF(AND(J280&gt;0,L280&gt;0),(L280-J280)/J280,IF(AND(H280&gt;0,L280&gt;0),(L280-H280)/H280,""))</f>
        <v/>
      </c>
      <c r="N280" s="14">
        <v>45693</v>
      </c>
      <c r="O280" s="13">
        <v>160.88</v>
      </c>
      <c r="P280" s="16" t="str">
        <f>IF(AND(L280&gt;0,O280&gt;0),(O280-L280)/L280,"")</f>
        <v/>
      </c>
      <c r="Q280" s="18"/>
      <c r="R280" s="18">
        <v>1</v>
      </c>
      <c r="S280" s="10">
        <f>IF(N280&gt;0,TODAY()-N280,"")</f>
        <v>418</v>
      </c>
    </row>
    <row r="281" ht="17" customHeight="1" spans="1:19" x14ac:dyDescent="0.25">
      <c r="A281" s="3" t="s">
        <v>20</v>
      </c>
      <c r="B281" s="3" t="s">
        <v>430</v>
      </c>
      <c r="C281" s="3" t="s">
        <v>583</v>
      </c>
      <c r="D281" s="3" t="s">
        <v>584</v>
      </c>
      <c r="E281" s="4">
        <v>48</v>
      </c>
      <c r="F281" s="5">
        <v>109.52999999999999</v>
      </c>
      <c r="G281" s="6">
        <v>45693</v>
      </c>
      <c r="H281" s="5">
        <v>109.53</v>
      </c>
      <c r="I281" s="7" t="s">
        <v>24</v>
      </c>
      <c r="J281" s="5"/>
      <c r="K281" s="8" t="str">
        <f>IF(AND(H281&gt;0,J281&gt;0),(J281-H281)/H281,"")</f>
        <v/>
      </c>
      <c r="L281" s="5"/>
      <c r="M281" s="8" t="str">
        <f>IF(AND(J281&gt;0,L281&gt;0),(L281-J281)/J281,IF(AND(H281&gt;0,L281&gt;0),(L281-H281)/H281,""))</f>
        <v/>
      </c>
      <c r="N281" s="6">
        <v>45693</v>
      </c>
      <c r="O281" s="5">
        <v>109.53</v>
      </c>
      <c r="P281" s="8" t="str">
        <f>IF(AND(L281&gt;0,O281&gt;0),(O281-L281)/L281,"")</f>
        <v/>
      </c>
      <c r="Q281" s="9"/>
      <c r="R281" s="9">
        <v>1</v>
      </c>
      <c r="S281" s="10">
        <f>IF(N281&gt;0,TODAY()-N281,"")</f>
        <v>418</v>
      </c>
    </row>
    <row r="282" ht="17" customHeight="1" spans="1:19" x14ac:dyDescent="0.25">
      <c r="A282" s="11" t="s">
        <v>20</v>
      </c>
      <c r="B282" s="11" t="s">
        <v>430</v>
      </c>
      <c r="C282" s="11" t="s">
        <v>585</v>
      </c>
      <c r="D282" s="11" t="s">
        <v>586</v>
      </c>
      <c r="E282" s="12">
        <v>2000</v>
      </c>
      <c r="F282" s="13">
        <v>0.5</v>
      </c>
      <c r="G282" s="14">
        <v>46043</v>
      </c>
      <c r="H282" s="13">
        <v>0.5</v>
      </c>
      <c r="I282" s="15" t="s">
        <v>24</v>
      </c>
      <c r="J282" s="13"/>
      <c r="K282" s="16" t="str">
        <f>IF(AND(H282&gt;0,J282&gt;0),(J282-H282)/H282,"")</f>
        <v/>
      </c>
      <c r="L282" s="13">
        <v>0.5</v>
      </c>
      <c r="M282" s="17">
        <f>IF(AND(J282&gt;0,L282&gt;0),(L282-J282)/J282,IF(AND(H282&gt;0,L282&gt;0),(L282-H282)/H282,""))</f>
        <v>0</v>
      </c>
      <c r="N282" s="14">
        <v>46043</v>
      </c>
      <c r="O282" s="13">
        <v>0.5</v>
      </c>
      <c r="P282" s="16" t="str">
        <f>IF(AND(L282&gt;0,O282&gt;0),(O282-L282)/L282,"")</f>
        <v/>
      </c>
      <c r="Q282" s="18"/>
      <c r="R282" s="18">
        <v>1</v>
      </c>
      <c r="S282" s="19">
        <f>IF(N282&gt;0,TODAY()-N282,"")</f>
        <v>68</v>
      </c>
    </row>
    <row r="283" ht="17" customHeight="1" spans="1:19" x14ac:dyDescent="0.25">
      <c r="A283" s="3" t="s">
        <v>20</v>
      </c>
      <c r="B283" s="3" t="s">
        <v>430</v>
      </c>
      <c r="C283" s="3" t="s">
        <v>587</v>
      </c>
      <c r="D283" s="3" t="s">
        <v>588</v>
      </c>
      <c r="E283" s="4">
        <v>15700</v>
      </c>
      <c r="F283" s="5">
        <v>0.7061974522292993</v>
      </c>
      <c r="G283" s="6">
        <v>45684</v>
      </c>
      <c r="H283" s="5">
        <v>0.58</v>
      </c>
      <c r="I283" s="7" t="s">
        <v>57</v>
      </c>
      <c r="J283" s="5">
        <v>0.79</v>
      </c>
      <c r="K283" s="23">
        <f>IF(AND(H283&gt;0,J283&gt;0),(J283-H283)/H283,"")</f>
        <v>0.36206896551724155</v>
      </c>
      <c r="L283" s="5"/>
      <c r="M283" s="8" t="str">
        <f>IF(AND(J283&gt;0,L283&gt;0),(L283-J283)/J283,IF(AND(H283&gt;0,L283&gt;0),(L283-H283)/H283,""))</f>
        <v/>
      </c>
      <c r="N283" s="6">
        <v>46072</v>
      </c>
      <c r="O283" s="5">
        <v>0.8</v>
      </c>
      <c r="P283" s="24">
        <f>IF(AND(L283&gt;0,O283&gt;0),(O283-L283)/L283,"")</f>
        <v>0.012658227848101276</v>
      </c>
      <c r="Q283" s="9">
        <v>55</v>
      </c>
      <c r="R283" s="9">
        <v>8</v>
      </c>
      <c r="S283" s="9">
        <f>IF(N283&gt;0,TODAY()-N283,"")</f>
        <v>39</v>
      </c>
    </row>
    <row r="284" ht="17" customHeight="1" spans="1:19" x14ac:dyDescent="0.25">
      <c r="A284" s="11" t="s">
        <v>20</v>
      </c>
      <c r="B284" s="11" t="s">
        <v>430</v>
      </c>
      <c r="C284" s="11" t="s">
        <v>589</v>
      </c>
      <c r="D284" s="11" t="s">
        <v>590</v>
      </c>
      <c r="E284" s="12">
        <v>250</v>
      </c>
      <c r="F284" s="13">
        <v>8.4</v>
      </c>
      <c r="G284" s="14">
        <v>45721</v>
      </c>
      <c r="H284" s="13">
        <v>8.4</v>
      </c>
      <c r="I284" s="15" t="s">
        <v>24</v>
      </c>
      <c r="J284" s="13"/>
      <c r="K284" s="16" t="str">
        <f>IF(AND(H284&gt;0,J284&gt;0),(J284-H284)/H284,"")</f>
        <v/>
      </c>
      <c r="L284" s="13"/>
      <c r="M284" s="16" t="str">
        <f>IF(AND(J284&gt;0,L284&gt;0),(L284-J284)/J284,IF(AND(H284&gt;0,L284&gt;0),(L284-H284)/H284,""))</f>
        <v/>
      </c>
      <c r="N284" s="14">
        <v>45721</v>
      </c>
      <c r="O284" s="13">
        <v>8.4</v>
      </c>
      <c r="P284" s="16" t="str">
        <f>IF(AND(L284&gt;0,O284&gt;0),(O284-L284)/L284,"")</f>
        <v/>
      </c>
      <c r="Q284" s="18"/>
      <c r="R284" s="18">
        <v>1</v>
      </c>
      <c r="S284" s="10">
        <f>IF(N284&gt;0,TODAY()-N284,"")</f>
        <v>390</v>
      </c>
    </row>
    <row r="285" ht="17" customHeight="1" spans="1:19" x14ac:dyDescent="0.25">
      <c r="A285" s="3" t="s">
        <v>20</v>
      </c>
      <c r="B285" s="3" t="s">
        <v>430</v>
      </c>
      <c r="C285" s="3" t="s">
        <v>591</v>
      </c>
      <c r="D285" s="3" t="s">
        <v>592</v>
      </c>
      <c r="E285" s="4">
        <v>191</v>
      </c>
      <c r="F285" s="5">
        <v>10.821989528795811</v>
      </c>
      <c r="G285" s="6">
        <v>45687</v>
      </c>
      <c r="H285" s="5">
        <v>9</v>
      </c>
      <c r="I285" s="7" t="s">
        <v>24</v>
      </c>
      <c r="J285" s="5"/>
      <c r="K285" s="8" t="str">
        <f>IF(AND(H285&gt;0,J285&gt;0),(J285-H285)/H285,"")</f>
        <v/>
      </c>
      <c r="L285" s="5"/>
      <c r="M285" s="8" t="str">
        <f>IF(AND(J285&gt;0,L285&gt;0),(L285-J285)/J285,IF(AND(H285&gt;0,L285&gt;0),(L285-H285)/H285,""))</f>
        <v/>
      </c>
      <c r="N285" s="6">
        <v>45855</v>
      </c>
      <c r="O285" s="5">
        <v>12</v>
      </c>
      <c r="P285" s="8" t="str">
        <f>IF(AND(L285&gt;0,O285&gt;0),(O285-L285)/L285,"")</f>
        <v/>
      </c>
      <c r="Q285" s="9">
        <v>84</v>
      </c>
      <c r="R285" s="9">
        <v>3</v>
      </c>
      <c r="S285" s="10">
        <f>IF(N285&gt;0,TODAY()-N285,"")</f>
        <v>256</v>
      </c>
    </row>
    <row r="286" ht="17" customHeight="1" spans="1:19" x14ac:dyDescent="0.25">
      <c r="A286" s="11" t="s">
        <v>20</v>
      </c>
      <c r="B286" s="11" t="s">
        <v>430</v>
      </c>
      <c r="C286" s="11" t="s">
        <v>593</v>
      </c>
      <c r="D286" s="11" t="s">
        <v>594</v>
      </c>
      <c r="E286" s="12">
        <v>48</v>
      </c>
      <c r="F286" s="13">
        <v>362.04389999999995</v>
      </c>
      <c r="G286" s="14">
        <v>45881</v>
      </c>
      <c r="H286" s="13">
        <v>362.04</v>
      </c>
      <c r="I286" s="15" t="s">
        <v>24</v>
      </c>
      <c r="J286" s="13"/>
      <c r="K286" s="16" t="str">
        <f>IF(AND(H286&gt;0,J286&gt;0),(J286-H286)/H286,"")</f>
        <v/>
      </c>
      <c r="L286" s="13"/>
      <c r="M286" s="16" t="str">
        <f>IF(AND(J286&gt;0,L286&gt;0),(L286-J286)/J286,IF(AND(H286&gt;0,L286&gt;0),(L286-H286)/H286,""))</f>
        <v/>
      </c>
      <c r="N286" s="14">
        <v>45881</v>
      </c>
      <c r="O286" s="13">
        <v>362.04</v>
      </c>
      <c r="P286" s="16" t="str">
        <f>IF(AND(L286&gt;0,O286&gt;0),(O286-L286)/L286,"")</f>
        <v/>
      </c>
      <c r="Q286" s="18"/>
      <c r="R286" s="18">
        <v>1</v>
      </c>
      <c r="S286" s="10">
        <f>IF(N286&gt;0,TODAY()-N286,"")</f>
        <v>230</v>
      </c>
    </row>
    <row r="287" ht="17" customHeight="1" spans="1:19" x14ac:dyDescent="0.25">
      <c r="A287" s="3" t="s">
        <v>20</v>
      </c>
      <c r="B287" s="3" t="s">
        <v>430</v>
      </c>
      <c r="C287" s="3" t="s">
        <v>595</v>
      </c>
      <c r="D287" s="3" t="s">
        <v>596</v>
      </c>
      <c r="E287" s="4">
        <v>1600</v>
      </c>
      <c r="F287" s="5">
        <v>16.734375</v>
      </c>
      <c r="G287" s="6">
        <v>45729</v>
      </c>
      <c r="H287" s="5">
        <v>16.5</v>
      </c>
      <c r="I287" s="7" t="s">
        <v>57</v>
      </c>
      <c r="J287" s="5">
        <v>16.5</v>
      </c>
      <c r="K287" s="24">
        <f>IF(AND(H287&gt;0,J287&gt;0),(J287-H287)/H287,"")</f>
        <v>0</v>
      </c>
      <c r="L287" s="5">
        <v>16.5</v>
      </c>
      <c r="M287" s="24">
        <f>IF(AND(J287&gt;0,L287&gt;0),(L287-J287)/J287,IF(AND(H287&gt;0,L287&gt;0),(L287-H287)/H287,""))</f>
        <v>0</v>
      </c>
      <c r="N287" s="6">
        <v>46038</v>
      </c>
      <c r="O287" s="5">
        <v>16.5</v>
      </c>
      <c r="P287" s="8" t="str">
        <f>IF(AND(L287&gt;0,O287&gt;0),(O287-L287)/L287,"")</f>
        <v/>
      </c>
      <c r="Q287" s="9">
        <v>52</v>
      </c>
      <c r="R287" s="9">
        <v>7</v>
      </c>
      <c r="S287" s="19">
        <f>IF(N287&gt;0,TODAY()-N287,"")</f>
        <v>73</v>
      </c>
    </row>
    <row r="288" ht="17" customHeight="1" spans="1:19" x14ac:dyDescent="0.25">
      <c r="A288" s="11" t="s">
        <v>20</v>
      </c>
      <c r="B288" s="11" t="s">
        <v>430</v>
      </c>
      <c r="C288" s="11" t="s">
        <v>597</v>
      </c>
      <c r="D288" s="11" t="s">
        <v>598</v>
      </c>
      <c r="E288" s="12">
        <v>900</v>
      </c>
      <c r="F288" s="13">
        <v>20.77777777777778</v>
      </c>
      <c r="G288" s="14">
        <v>45776</v>
      </c>
      <c r="H288" s="13">
        <v>20</v>
      </c>
      <c r="I288" s="15" t="s">
        <v>60</v>
      </c>
      <c r="J288" s="13">
        <v>22</v>
      </c>
      <c r="K288" s="20">
        <f>IF(AND(H288&gt;0,J288&gt;0),(J288-H288)/H288,"")</f>
        <v>0.1</v>
      </c>
      <c r="L288" s="13">
        <v>20</v>
      </c>
      <c r="M288" s="25">
        <f>IF(AND(J288&gt;0,L288&gt;0),(L288-J288)/J288,IF(AND(H288&gt;0,L288&gt;0),(L288-H288)/H288,""))</f>
        <v>-0.09090909090909091</v>
      </c>
      <c r="N288" s="14">
        <v>46062</v>
      </c>
      <c r="O288" s="13">
        <v>20</v>
      </c>
      <c r="P288" s="17">
        <f>IF(AND(L288&gt;0,O288&gt;0),(O288-L288)/L288,"")</f>
        <v>0</v>
      </c>
      <c r="Q288" s="18">
        <v>48</v>
      </c>
      <c r="R288" s="18">
        <v>7</v>
      </c>
      <c r="S288" s="18">
        <f>IF(N288&gt;0,TODAY()-N288,"")</f>
        <v>49</v>
      </c>
    </row>
    <row r="289" ht="17" customHeight="1" spans="1:19" x14ac:dyDescent="0.25">
      <c r="A289" s="3" t="s">
        <v>20</v>
      </c>
      <c r="B289" s="3" t="s">
        <v>430</v>
      </c>
      <c r="C289" s="3" t="s">
        <v>599</v>
      </c>
      <c r="D289" s="3" t="s">
        <v>600</v>
      </c>
      <c r="E289" s="4">
        <v>5650</v>
      </c>
      <c r="F289" s="5">
        <v>11.61504424778761</v>
      </c>
      <c r="G289" s="6">
        <v>45713</v>
      </c>
      <c r="H289" s="5">
        <v>10</v>
      </c>
      <c r="I289" s="7" t="s">
        <v>57</v>
      </c>
      <c r="J289" s="5">
        <v>12.5</v>
      </c>
      <c r="K289" s="23">
        <f>IF(AND(H289&gt;0,J289&gt;0),(J289-H289)/H289,"")</f>
        <v>0.25</v>
      </c>
      <c r="L289" s="5">
        <v>12.5</v>
      </c>
      <c r="M289" s="24">
        <f>IF(AND(J289&gt;0,L289&gt;0),(L289-J289)/J289,IF(AND(H289&gt;0,L289&gt;0),(L289-H289)/H289,""))</f>
        <v>0</v>
      </c>
      <c r="N289" s="6">
        <v>46104</v>
      </c>
      <c r="O289" s="5">
        <v>12.5</v>
      </c>
      <c r="P289" s="24">
        <f>IF(AND(L289&gt;0,O289&gt;0),(O289-L289)/L289,"")</f>
        <v>0</v>
      </c>
      <c r="Q289" s="9">
        <v>56</v>
      </c>
      <c r="R289" s="9">
        <v>8</v>
      </c>
      <c r="S289" s="9">
        <f>IF(N289&gt;0,TODAY()-N289,"")</f>
        <v>7</v>
      </c>
    </row>
    <row r="290" ht="17" customHeight="1" spans="1:19" x14ac:dyDescent="0.25">
      <c r="A290" s="11" t="s">
        <v>20</v>
      </c>
      <c r="B290" s="11" t="s">
        <v>430</v>
      </c>
      <c r="C290" s="11" t="s">
        <v>601</v>
      </c>
      <c r="D290" s="11" t="s">
        <v>602</v>
      </c>
      <c r="E290" s="12">
        <v>250</v>
      </c>
      <c r="F290" s="13">
        <v>16.5</v>
      </c>
      <c r="G290" s="14">
        <v>45769</v>
      </c>
      <c r="H290" s="13">
        <v>16.5</v>
      </c>
      <c r="I290" s="15" t="s">
        <v>24</v>
      </c>
      <c r="J290" s="13"/>
      <c r="K290" s="16" t="str">
        <f>IF(AND(H290&gt;0,J290&gt;0),(J290-H290)/H290,"")</f>
        <v/>
      </c>
      <c r="L290" s="13"/>
      <c r="M290" s="16" t="str">
        <f>IF(AND(J290&gt;0,L290&gt;0),(L290-J290)/J290,IF(AND(H290&gt;0,L290&gt;0),(L290-H290)/H290,""))</f>
        <v/>
      </c>
      <c r="N290" s="14">
        <v>45769</v>
      </c>
      <c r="O290" s="13">
        <v>16.5</v>
      </c>
      <c r="P290" s="16" t="str">
        <f>IF(AND(L290&gt;0,O290&gt;0),(O290-L290)/L290,"")</f>
        <v/>
      </c>
      <c r="Q290" s="18"/>
      <c r="R290" s="18">
        <v>1</v>
      </c>
      <c r="S290" s="10">
        <f>IF(N290&gt;0,TODAY()-N290,"")</f>
        <v>342</v>
      </c>
    </row>
    <row r="291" ht="17" customHeight="1" spans="1:19" x14ac:dyDescent="0.25">
      <c r="A291" s="3" t="s">
        <v>20</v>
      </c>
      <c r="B291" s="3" t="s">
        <v>430</v>
      </c>
      <c r="C291" s="3" t="s">
        <v>603</v>
      </c>
      <c r="D291" s="3" t="s">
        <v>604</v>
      </c>
      <c r="E291" s="4">
        <v>205</v>
      </c>
      <c r="F291" s="5">
        <v>37.63414634146341</v>
      </c>
      <c r="G291" s="6">
        <v>45672</v>
      </c>
      <c r="H291" s="5">
        <v>10</v>
      </c>
      <c r="I291" s="7" t="s">
        <v>24</v>
      </c>
      <c r="J291" s="5"/>
      <c r="K291" s="8" t="str">
        <f>IF(AND(H291&gt;0,J291&gt;0),(J291-H291)/H291,"")</f>
        <v/>
      </c>
      <c r="L291" s="5">
        <v>115</v>
      </c>
      <c r="M291" s="23">
        <f>IF(AND(J291&gt;0,L291&gt;0),(L291-J291)/J291,IF(AND(H291&gt;0,L291&gt;0),(L291-H291)/H291,""))</f>
        <v>10.5</v>
      </c>
      <c r="N291" s="6">
        <v>46038</v>
      </c>
      <c r="O291" s="5">
        <v>115</v>
      </c>
      <c r="P291" s="8" t="str">
        <f>IF(AND(L291&gt;0,O291&gt;0),(O291-L291)/L291,"")</f>
        <v/>
      </c>
      <c r="Q291" s="9">
        <v>73</v>
      </c>
      <c r="R291" s="9">
        <v>6</v>
      </c>
      <c r="S291" s="19">
        <f>IF(N291&gt;0,TODAY()-N291,"")</f>
        <v>73</v>
      </c>
    </row>
    <row r="292" ht="17" customHeight="1" spans="1:19" x14ac:dyDescent="0.25">
      <c r="A292" s="11" t="s">
        <v>20</v>
      </c>
      <c r="B292" s="11" t="s">
        <v>430</v>
      </c>
      <c r="C292" s="11" t="s">
        <v>605</v>
      </c>
      <c r="D292" s="11" t="s">
        <v>606</v>
      </c>
      <c r="E292" s="12">
        <v>179</v>
      </c>
      <c r="F292" s="13">
        <v>78.01675977653632</v>
      </c>
      <c r="G292" s="14">
        <v>45698</v>
      </c>
      <c r="H292" s="13">
        <v>85</v>
      </c>
      <c r="I292" s="15" t="s">
        <v>60</v>
      </c>
      <c r="J292" s="13">
        <v>58.33</v>
      </c>
      <c r="K292" s="25">
        <f>IF(AND(H292&gt;0,J292&gt;0),(J292-H292)/H292,"")</f>
        <v>-0.31376470588235295</v>
      </c>
      <c r="L292" s="13"/>
      <c r="M292" s="16" t="str">
        <f>IF(AND(J292&gt;0,L292&gt;0),(L292-J292)/J292,IF(AND(H292&gt;0,L292&gt;0),(L292-H292)/H292,""))</f>
        <v/>
      </c>
      <c r="N292" s="14">
        <v>46097</v>
      </c>
      <c r="O292" s="13">
        <v>62.5</v>
      </c>
      <c r="P292" s="17">
        <f>IF(AND(L292&gt;0,O292&gt;0),(O292-L292)/L292,"")</f>
        <v>0.07148979941710958</v>
      </c>
      <c r="Q292" s="18">
        <v>50</v>
      </c>
      <c r="R292" s="18">
        <v>9</v>
      </c>
      <c r="S292" s="18">
        <f>IF(N292&gt;0,TODAY()-N292,"")</f>
        <v>14</v>
      </c>
    </row>
    <row r="293" ht="17" customHeight="1" spans="1:19" x14ac:dyDescent="0.25">
      <c r="A293" s="3" t="s">
        <v>20</v>
      </c>
      <c r="B293" s="3" t="s">
        <v>430</v>
      </c>
      <c r="C293" s="3" t="s">
        <v>607</v>
      </c>
      <c r="D293" s="3" t="s">
        <v>608</v>
      </c>
      <c r="E293" s="4">
        <v>44</v>
      </c>
      <c r="F293" s="5">
        <v>400</v>
      </c>
      <c r="G293" s="6">
        <v>45681</v>
      </c>
      <c r="H293" s="5">
        <v>400</v>
      </c>
      <c r="I293" s="7" t="s">
        <v>24</v>
      </c>
      <c r="J293" s="5"/>
      <c r="K293" s="8" t="str">
        <f>IF(AND(H293&gt;0,J293&gt;0),(J293-H293)/H293,"")</f>
        <v/>
      </c>
      <c r="L293" s="5"/>
      <c r="M293" s="8" t="str">
        <f>IF(AND(J293&gt;0,L293&gt;0),(L293-J293)/J293,IF(AND(H293&gt;0,L293&gt;0),(L293-H293)/H293,""))</f>
        <v/>
      </c>
      <c r="N293" s="6">
        <v>45681</v>
      </c>
      <c r="O293" s="5">
        <v>400</v>
      </c>
      <c r="P293" s="8" t="str">
        <f>IF(AND(L293&gt;0,O293&gt;0),(O293-L293)/L293,"")</f>
        <v/>
      </c>
      <c r="Q293" s="9"/>
      <c r="R293" s="9">
        <v>1</v>
      </c>
      <c r="S293" s="10">
        <f>IF(N293&gt;0,TODAY()-N293,"")</f>
        <v>430</v>
      </c>
    </row>
    <row r="294" ht="17" customHeight="1" spans="1:19" x14ac:dyDescent="0.25">
      <c r="A294" s="11" t="s">
        <v>20</v>
      </c>
      <c r="B294" s="11" t="s">
        <v>430</v>
      </c>
      <c r="C294" s="11" t="s">
        <v>609</v>
      </c>
      <c r="D294" s="11" t="s">
        <v>610</v>
      </c>
      <c r="E294" s="12">
        <v>800</v>
      </c>
      <c r="F294" s="13">
        <v>2.24</v>
      </c>
      <c r="G294" s="14">
        <v>46015</v>
      </c>
      <c r="H294" s="13">
        <v>2.24</v>
      </c>
      <c r="I294" s="15" t="s">
        <v>54</v>
      </c>
      <c r="J294" s="13">
        <v>2.24</v>
      </c>
      <c r="K294" s="17">
        <f>IF(AND(H294&gt;0,J294&gt;0),(J294-H294)/H294,"")</f>
        <v>0</v>
      </c>
      <c r="L294" s="13"/>
      <c r="M294" s="16" t="str">
        <f>IF(AND(J294&gt;0,L294&gt;0),(L294-J294)/J294,IF(AND(H294&gt;0,L294&gt;0),(L294-H294)/H294,""))</f>
        <v/>
      </c>
      <c r="N294" s="14">
        <v>46015</v>
      </c>
      <c r="O294" s="13">
        <v>2.24</v>
      </c>
      <c r="P294" s="16" t="str">
        <f>IF(AND(L294&gt;0,O294&gt;0),(O294-L294)/L294,"")</f>
        <v/>
      </c>
      <c r="Q294" s="18"/>
      <c r="R294" s="18">
        <v>1</v>
      </c>
      <c r="S294" s="21">
        <f>IF(N294&gt;0,TODAY()-N294,"")</f>
        <v>96</v>
      </c>
    </row>
    <row r="295" ht="17" customHeight="1" spans="1:19" x14ac:dyDescent="0.25">
      <c r="A295" s="3" t="s">
        <v>20</v>
      </c>
      <c r="B295" s="3" t="s">
        <v>430</v>
      </c>
      <c r="C295" s="3" t="s">
        <v>611</v>
      </c>
      <c r="D295" s="3" t="s">
        <v>612</v>
      </c>
      <c r="E295" s="4">
        <v>20</v>
      </c>
      <c r="F295" s="5">
        <v>115</v>
      </c>
      <c r="G295" s="6">
        <v>46020</v>
      </c>
      <c r="H295" s="5">
        <v>115</v>
      </c>
      <c r="I295" s="7" t="s">
        <v>54</v>
      </c>
      <c r="J295" s="5">
        <v>115</v>
      </c>
      <c r="K295" s="24">
        <f>IF(AND(H295&gt;0,J295&gt;0),(J295-H295)/H295,"")</f>
        <v>0</v>
      </c>
      <c r="L295" s="5"/>
      <c r="M295" s="8" t="str">
        <f>IF(AND(J295&gt;0,L295&gt;0),(L295-J295)/J295,IF(AND(H295&gt;0,L295&gt;0),(L295-H295)/H295,""))</f>
        <v/>
      </c>
      <c r="N295" s="6">
        <v>46020</v>
      </c>
      <c r="O295" s="5">
        <v>115</v>
      </c>
      <c r="P295" s="8" t="str">
        <f>IF(AND(L295&gt;0,O295&gt;0),(O295-L295)/L295,"")</f>
        <v/>
      </c>
      <c r="Q295" s="9">
        <v>0</v>
      </c>
      <c r="R295" s="9">
        <v>2</v>
      </c>
      <c r="S295" s="21">
        <f>IF(N295&gt;0,TODAY()-N295,"")</f>
        <v>91</v>
      </c>
    </row>
    <row r="296" ht="17" customHeight="1" spans="1:19" x14ac:dyDescent="0.25">
      <c r="A296" s="11" t="s">
        <v>20</v>
      </c>
      <c r="B296" s="11" t="s">
        <v>430</v>
      </c>
      <c r="C296" s="11" t="s">
        <v>613</v>
      </c>
      <c r="D296" s="11" t="s">
        <v>614</v>
      </c>
      <c r="E296" s="12">
        <v>13</v>
      </c>
      <c r="F296" s="13">
        <v>147</v>
      </c>
      <c r="G296" s="14">
        <v>46020</v>
      </c>
      <c r="H296" s="13">
        <v>147</v>
      </c>
      <c r="I296" s="15" t="s">
        <v>54</v>
      </c>
      <c r="J296" s="13">
        <v>147</v>
      </c>
      <c r="K296" s="17">
        <f>IF(AND(H296&gt;0,J296&gt;0),(J296-H296)/H296,"")</f>
        <v>0</v>
      </c>
      <c r="L296" s="13"/>
      <c r="M296" s="16" t="str">
        <f>IF(AND(J296&gt;0,L296&gt;0),(L296-J296)/J296,IF(AND(H296&gt;0,L296&gt;0),(L296-H296)/H296,""))</f>
        <v/>
      </c>
      <c r="N296" s="14">
        <v>46020</v>
      </c>
      <c r="O296" s="13">
        <v>147</v>
      </c>
      <c r="P296" s="16" t="str">
        <f>IF(AND(L296&gt;0,O296&gt;0),(O296-L296)/L296,"")</f>
        <v/>
      </c>
      <c r="Q296" s="18">
        <v>0</v>
      </c>
      <c r="R296" s="18">
        <v>2</v>
      </c>
      <c r="S296" s="21">
        <f>IF(N296&gt;0,TODAY()-N296,"")</f>
        <v>91</v>
      </c>
    </row>
    <row r="297" ht="17" customHeight="1" spans="1:19" x14ac:dyDescent="0.25">
      <c r="A297" s="3" t="s">
        <v>20</v>
      </c>
      <c r="B297" s="3" t="s">
        <v>430</v>
      </c>
      <c r="C297" s="3" t="s">
        <v>615</v>
      </c>
      <c r="D297" s="3" t="s">
        <v>616</v>
      </c>
      <c r="E297" s="4">
        <v>13</v>
      </c>
      <c r="F297" s="5">
        <v>23.87</v>
      </c>
      <c r="G297" s="6">
        <v>46015</v>
      </c>
      <c r="H297" s="5">
        <v>23.87</v>
      </c>
      <c r="I297" s="7" t="s">
        <v>54</v>
      </c>
      <c r="J297" s="5">
        <v>23.87</v>
      </c>
      <c r="K297" s="24">
        <f>IF(AND(H297&gt;0,J297&gt;0),(J297-H297)/H297,"")</f>
        <v>0</v>
      </c>
      <c r="L297" s="5"/>
      <c r="M297" s="8" t="str">
        <f>IF(AND(J297&gt;0,L297&gt;0),(L297-J297)/J297,IF(AND(H297&gt;0,L297&gt;0),(L297-H297)/H297,""))</f>
        <v/>
      </c>
      <c r="N297" s="6">
        <v>46015</v>
      </c>
      <c r="O297" s="5">
        <v>23.87</v>
      </c>
      <c r="P297" s="8" t="str">
        <f>IF(AND(L297&gt;0,O297&gt;0),(O297-L297)/L297,"")</f>
        <v/>
      </c>
      <c r="Q297" s="9"/>
      <c r="R297" s="9">
        <v>1</v>
      </c>
      <c r="S297" s="21">
        <f>IF(N297&gt;0,TODAY()-N297,"")</f>
        <v>96</v>
      </c>
    </row>
    <row r="298" ht="17" customHeight="1" spans="1:19" x14ac:dyDescent="0.25">
      <c r="A298" s="11" t="s">
        <v>20</v>
      </c>
      <c r="B298" s="11" t="s">
        <v>430</v>
      </c>
      <c r="C298" s="11" t="s">
        <v>617</v>
      </c>
      <c r="D298" s="11" t="s">
        <v>618</v>
      </c>
      <c r="E298" s="12">
        <v>2350</v>
      </c>
      <c r="F298" s="13">
        <v>2.822127659574468</v>
      </c>
      <c r="G298" s="14">
        <v>45687</v>
      </c>
      <c r="H298" s="13">
        <v>2.1</v>
      </c>
      <c r="I298" s="15" t="s">
        <v>57</v>
      </c>
      <c r="J298" s="13">
        <v>3</v>
      </c>
      <c r="K298" s="23">
        <f>IF(AND(H298&gt;0,J298&gt;0),(J298-H298)/H298,"")</f>
        <v>0.4285714285714285</v>
      </c>
      <c r="L298" s="13">
        <v>3</v>
      </c>
      <c r="M298" s="17">
        <f>IF(AND(J298&gt;0,L298&gt;0),(L298-J298)/J298,IF(AND(H298&gt;0,L298&gt;0),(L298-H298)/H298,""))</f>
        <v>0</v>
      </c>
      <c r="N298" s="14">
        <v>46097</v>
      </c>
      <c r="O298" s="13">
        <v>3.75</v>
      </c>
      <c r="P298" s="23">
        <f>IF(AND(L298&gt;0,O298&gt;0),(O298-L298)/L298,"")</f>
        <v>0.25</v>
      </c>
      <c r="Q298" s="18">
        <v>46</v>
      </c>
      <c r="R298" s="18">
        <v>10</v>
      </c>
      <c r="S298" s="18">
        <f>IF(N298&gt;0,TODAY()-N298,"")</f>
        <v>14</v>
      </c>
    </row>
    <row r="299" ht="17" customHeight="1" spans="1:19" x14ac:dyDescent="0.25">
      <c r="A299" s="3" t="s">
        <v>20</v>
      </c>
      <c r="B299" s="3" t="s">
        <v>430</v>
      </c>
      <c r="C299" s="3" t="s">
        <v>619</v>
      </c>
      <c r="D299" s="3" t="s">
        <v>620</v>
      </c>
      <c r="E299" s="4">
        <v>50</v>
      </c>
      <c r="F299" s="5">
        <v>50</v>
      </c>
      <c r="G299" s="6">
        <v>45915</v>
      </c>
      <c r="H299" s="5">
        <v>50</v>
      </c>
      <c r="I299" s="7" t="s">
        <v>24</v>
      </c>
      <c r="J299" s="5"/>
      <c r="K299" s="8" t="str">
        <f>IF(AND(H299&gt;0,J299&gt;0),(J299-H299)/H299,"")</f>
        <v/>
      </c>
      <c r="L299" s="5"/>
      <c r="M299" s="8" t="str">
        <f>IF(AND(J299&gt;0,L299&gt;0),(L299-J299)/J299,IF(AND(H299&gt;0,L299&gt;0),(L299-H299)/H299,""))</f>
        <v/>
      </c>
      <c r="N299" s="6">
        <v>45915</v>
      </c>
      <c r="O299" s="5">
        <v>50</v>
      </c>
      <c r="P299" s="8" t="str">
        <f>IF(AND(L299&gt;0,O299&gt;0),(O299-L299)/L299,"")</f>
        <v/>
      </c>
      <c r="Q299" s="9"/>
      <c r="R299" s="9">
        <v>1</v>
      </c>
      <c r="S299" s="10">
        <f>IF(N299&gt;0,TODAY()-N299,"")</f>
        <v>196</v>
      </c>
    </row>
    <row r="300" ht="17" customHeight="1" spans="1:19" x14ac:dyDescent="0.25">
      <c r="A300" s="11" t="s">
        <v>20</v>
      </c>
      <c r="B300" s="11" t="s">
        <v>430</v>
      </c>
      <c r="C300" s="11" t="s">
        <v>621</v>
      </c>
      <c r="D300" s="11" t="s">
        <v>622</v>
      </c>
      <c r="E300" s="12">
        <v>150</v>
      </c>
      <c r="F300" s="13">
        <v>1.8</v>
      </c>
      <c r="G300" s="14">
        <v>45880</v>
      </c>
      <c r="H300" s="13">
        <v>1.8</v>
      </c>
      <c r="I300" s="15" t="s">
        <v>24</v>
      </c>
      <c r="J300" s="13"/>
      <c r="K300" s="16" t="str">
        <f>IF(AND(H300&gt;0,J300&gt;0),(J300-H300)/H300,"")</f>
        <v/>
      </c>
      <c r="L300" s="13"/>
      <c r="M300" s="16" t="str">
        <f>IF(AND(J300&gt;0,L300&gt;0),(L300-J300)/J300,IF(AND(H300&gt;0,L300&gt;0),(L300-H300)/H300,""))</f>
        <v/>
      </c>
      <c r="N300" s="14">
        <v>45880</v>
      </c>
      <c r="O300" s="13">
        <v>1.8</v>
      </c>
      <c r="P300" s="16" t="str">
        <f>IF(AND(L300&gt;0,O300&gt;0),(O300-L300)/L300,"")</f>
        <v/>
      </c>
      <c r="Q300" s="18"/>
      <c r="R300" s="18">
        <v>1</v>
      </c>
      <c r="S300" s="10">
        <f>IF(N300&gt;0,TODAY()-N300,"")</f>
        <v>231</v>
      </c>
    </row>
    <row r="301" ht="17" customHeight="1" spans="1:19" x14ac:dyDescent="0.25">
      <c r="A301" s="3" t="s">
        <v>20</v>
      </c>
      <c r="B301" s="3" t="s">
        <v>430</v>
      </c>
      <c r="C301" s="3" t="s">
        <v>623</v>
      </c>
      <c r="D301" s="3" t="s">
        <v>624</v>
      </c>
      <c r="E301" s="4">
        <v>1</v>
      </c>
      <c r="F301" s="5">
        <v>2400</v>
      </c>
      <c r="G301" s="6">
        <v>45880</v>
      </c>
      <c r="H301" s="5">
        <v>2400</v>
      </c>
      <c r="I301" s="7" t="s">
        <v>24</v>
      </c>
      <c r="J301" s="5"/>
      <c r="K301" s="8" t="str">
        <f>IF(AND(H301&gt;0,J301&gt;0),(J301-H301)/H301,"")</f>
        <v/>
      </c>
      <c r="L301" s="5"/>
      <c r="M301" s="8" t="str">
        <f>IF(AND(J301&gt;0,L301&gt;0),(L301-J301)/J301,IF(AND(H301&gt;0,L301&gt;0),(L301-H301)/H301,""))</f>
        <v/>
      </c>
      <c r="N301" s="6">
        <v>45880</v>
      </c>
      <c r="O301" s="5">
        <v>2400</v>
      </c>
      <c r="P301" s="8" t="str">
        <f>IF(AND(L301&gt;0,O301&gt;0),(O301-L301)/L301,"")</f>
        <v/>
      </c>
      <c r="Q301" s="9"/>
      <c r="R301" s="9">
        <v>1</v>
      </c>
      <c r="S301" s="10">
        <f>IF(N301&gt;0,TODAY()-N301,"")</f>
        <v>231</v>
      </c>
    </row>
    <row r="302" ht="17" customHeight="1" spans="1:19" x14ac:dyDescent="0.25">
      <c r="A302" s="11" t="s">
        <v>20</v>
      </c>
      <c r="B302" s="11" t="s">
        <v>430</v>
      </c>
      <c r="C302" s="11" t="s">
        <v>625</v>
      </c>
      <c r="D302" s="11" t="s">
        <v>626</v>
      </c>
      <c r="E302" s="12">
        <v>5</v>
      </c>
      <c r="F302" s="13">
        <v>1375</v>
      </c>
      <c r="G302" s="14">
        <v>45693</v>
      </c>
      <c r="H302" s="13">
        <v>1150</v>
      </c>
      <c r="I302" s="15" t="s">
        <v>24</v>
      </c>
      <c r="J302" s="13"/>
      <c r="K302" s="16" t="str">
        <f>IF(AND(H302&gt;0,J302&gt;0),(J302-H302)/H302,"")</f>
        <v/>
      </c>
      <c r="L302" s="13">
        <v>1525</v>
      </c>
      <c r="M302" s="23">
        <f>IF(AND(J302&gt;0,L302&gt;0),(L302-J302)/J302,IF(AND(H302&gt;0,L302&gt;0),(L302-H302)/H302,""))</f>
        <v>0.32608695652173914</v>
      </c>
      <c r="N302" s="14">
        <v>46043</v>
      </c>
      <c r="O302" s="13">
        <v>1525</v>
      </c>
      <c r="P302" s="16" t="str">
        <f>IF(AND(L302&gt;0,O302&gt;0),(O302-L302)/L302,"")</f>
        <v/>
      </c>
      <c r="Q302" s="18">
        <v>350</v>
      </c>
      <c r="R302" s="18">
        <v>2</v>
      </c>
      <c r="S302" s="19">
        <f>IF(N302&gt;0,TODAY()-N302,"")</f>
        <v>68</v>
      </c>
    </row>
    <row r="303" ht="17" customHeight="1" spans="1:19" x14ac:dyDescent="0.25">
      <c r="A303" s="3" t="s">
        <v>20</v>
      </c>
      <c r="B303" s="3" t="s">
        <v>430</v>
      </c>
      <c r="C303" s="3" t="s">
        <v>627</v>
      </c>
      <c r="D303" s="3" t="s">
        <v>628</v>
      </c>
      <c r="E303" s="4">
        <v>10</v>
      </c>
      <c r="F303" s="5">
        <v>36</v>
      </c>
      <c r="G303" s="6">
        <v>45985</v>
      </c>
      <c r="H303" s="5">
        <v>36</v>
      </c>
      <c r="I303" s="7" t="s">
        <v>60</v>
      </c>
      <c r="J303" s="5">
        <v>36</v>
      </c>
      <c r="K303" s="24">
        <f>IF(AND(H303&gt;0,J303&gt;0),(J303-H303)/H303,"")</f>
        <v>0</v>
      </c>
      <c r="L303" s="5"/>
      <c r="M303" s="8" t="str">
        <f>IF(AND(J303&gt;0,L303&gt;0),(L303-J303)/J303,IF(AND(H303&gt;0,L303&gt;0),(L303-H303)/H303,""))</f>
        <v/>
      </c>
      <c r="N303" s="6">
        <v>45985</v>
      </c>
      <c r="O303" s="5">
        <v>36</v>
      </c>
      <c r="P303" s="8" t="str">
        <f>IF(AND(L303&gt;0,O303&gt;0),(O303-L303)/L303,"")</f>
        <v/>
      </c>
      <c r="Q303" s="9"/>
      <c r="R303" s="9">
        <v>1</v>
      </c>
      <c r="S303" s="21">
        <f>IF(N303&gt;0,TODAY()-N303,"")</f>
        <v>126</v>
      </c>
    </row>
    <row r="304" ht="17" customHeight="1" spans="1:19" x14ac:dyDescent="0.25">
      <c r="A304" s="11" t="s">
        <v>20</v>
      </c>
      <c r="B304" s="11" t="s">
        <v>430</v>
      </c>
      <c r="C304" s="11" t="s">
        <v>629</v>
      </c>
      <c r="D304" s="11" t="s">
        <v>630</v>
      </c>
      <c r="E304" s="12">
        <v>25</v>
      </c>
      <c r="F304" s="13">
        <v>79.17</v>
      </c>
      <c r="G304" s="14">
        <v>46015</v>
      </c>
      <c r="H304" s="13">
        <v>79.17</v>
      </c>
      <c r="I304" s="15" t="s">
        <v>54</v>
      </c>
      <c r="J304" s="13">
        <v>79.17</v>
      </c>
      <c r="K304" s="17">
        <f>IF(AND(H304&gt;0,J304&gt;0),(J304-H304)/H304,"")</f>
        <v>0</v>
      </c>
      <c r="L304" s="13"/>
      <c r="M304" s="16" t="str">
        <f>IF(AND(J304&gt;0,L304&gt;0),(L304-J304)/J304,IF(AND(H304&gt;0,L304&gt;0),(L304-H304)/H304,""))</f>
        <v/>
      </c>
      <c r="N304" s="14">
        <v>46015</v>
      </c>
      <c r="O304" s="13">
        <v>79.17</v>
      </c>
      <c r="P304" s="16" t="str">
        <f>IF(AND(L304&gt;0,O304&gt;0),(O304-L304)/L304,"")</f>
        <v/>
      </c>
      <c r="Q304" s="18">
        <v>0</v>
      </c>
      <c r="R304" s="18">
        <v>2</v>
      </c>
      <c r="S304" s="21">
        <f>IF(N304&gt;0,TODAY()-N304,"")</f>
        <v>96</v>
      </c>
    </row>
    <row r="305" ht="17" customHeight="1" spans="1:19" x14ac:dyDescent="0.25">
      <c r="A305" s="3" t="s">
        <v>20</v>
      </c>
      <c r="B305" s="3" t="s">
        <v>430</v>
      </c>
      <c r="C305" s="3" t="s">
        <v>631</v>
      </c>
      <c r="D305" s="3" t="s">
        <v>632</v>
      </c>
      <c r="E305" s="4">
        <v>600</v>
      </c>
      <c r="F305" s="5">
        <v>13.583333333333334</v>
      </c>
      <c r="G305" s="6">
        <v>45712</v>
      </c>
      <c r="H305" s="5">
        <v>12.5</v>
      </c>
      <c r="I305" s="7" t="s">
        <v>54</v>
      </c>
      <c r="J305" s="5">
        <v>14</v>
      </c>
      <c r="K305" s="22">
        <f>IF(AND(H305&gt;0,J305&gt;0),(J305-H305)/H305,"")</f>
        <v>0.12</v>
      </c>
      <c r="L305" s="5"/>
      <c r="M305" s="8" t="str">
        <f>IF(AND(J305&gt;0,L305&gt;0),(L305-J305)/J305,IF(AND(H305&gt;0,L305&gt;0),(L305-H305)/H305,""))</f>
        <v/>
      </c>
      <c r="N305" s="6">
        <v>46094</v>
      </c>
      <c r="O305" s="5">
        <v>15</v>
      </c>
      <c r="P305" s="24">
        <f>IF(AND(L305&gt;0,O305&gt;0),(O305-L305)/L305,"")</f>
        <v>0.07142857142857142</v>
      </c>
      <c r="Q305" s="9">
        <v>55</v>
      </c>
      <c r="R305" s="9">
        <v>8</v>
      </c>
      <c r="S305" s="9">
        <f>IF(N305&gt;0,TODAY()-N305,"")</f>
        <v>17</v>
      </c>
    </row>
    <row r="306" ht="17" customHeight="1" spans="1:19" x14ac:dyDescent="0.25">
      <c r="A306" s="11" t="s">
        <v>20</v>
      </c>
      <c r="B306" s="11" t="s">
        <v>430</v>
      </c>
      <c r="C306" s="11" t="s">
        <v>633</v>
      </c>
      <c r="D306" s="11" t="s">
        <v>634</v>
      </c>
      <c r="E306" s="12">
        <v>300</v>
      </c>
      <c r="F306" s="13">
        <v>26.833333333333332</v>
      </c>
      <c r="G306" s="14">
        <v>45713</v>
      </c>
      <c r="H306" s="13">
        <v>21</v>
      </c>
      <c r="I306" s="15" t="s">
        <v>60</v>
      </c>
      <c r="J306" s="13">
        <v>30</v>
      </c>
      <c r="K306" s="23">
        <f>IF(AND(H306&gt;0,J306&gt;0),(J306-H306)/H306,"")</f>
        <v>0.42857142857142855</v>
      </c>
      <c r="L306" s="13"/>
      <c r="M306" s="16" t="str">
        <f>IF(AND(J306&gt;0,L306&gt;0),(L306-J306)/J306,IF(AND(H306&gt;0,L306&gt;0),(L306-H306)/H306,""))</f>
        <v/>
      </c>
      <c r="N306" s="14">
        <v>46093</v>
      </c>
      <c r="O306" s="13">
        <v>30</v>
      </c>
      <c r="P306" s="17">
        <f>IF(AND(L306&gt;0,O306&gt;0),(O306-L306)/L306,"")</f>
        <v>0</v>
      </c>
      <c r="Q306" s="18">
        <v>54</v>
      </c>
      <c r="R306" s="18">
        <v>8</v>
      </c>
      <c r="S306" s="18">
        <f>IF(N306&gt;0,TODAY()-N306,"")</f>
        <v>18</v>
      </c>
    </row>
    <row r="307" ht="17" customHeight="1" spans="1:19" x14ac:dyDescent="0.25">
      <c r="A307" s="3" t="s">
        <v>20</v>
      </c>
      <c r="B307" s="3" t="s">
        <v>430</v>
      </c>
      <c r="C307" s="3" t="s">
        <v>635</v>
      </c>
      <c r="D307" s="3" t="s">
        <v>636</v>
      </c>
      <c r="E307" s="4">
        <v>18</v>
      </c>
      <c r="F307" s="5">
        <v>49.50944444444444</v>
      </c>
      <c r="G307" s="6">
        <v>45887</v>
      </c>
      <c r="H307" s="5">
        <v>49.51</v>
      </c>
      <c r="I307" s="7" t="s">
        <v>24</v>
      </c>
      <c r="J307" s="5"/>
      <c r="K307" s="8" t="str">
        <f>IF(AND(H307&gt;0,J307&gt;0),(J307-H307)/H307,"")</f>
        <v/>
      </c>
      <c r="L307" s="5"/>
      <c r="M307" s="8" t="str">
        <f>IF(AND(J307&gt;0,L307&gt;0),(L307-J307)/J307,IF(AND(H307&gt;0,L307&gt;0),(L307-H307)/H307,""))</f>
        <v/>
      </c>
      <c r="N307" s="6">
        <v>45887</v>
      </c>
      <c r="O307" s="5">
        <v>49.51</v>
      </c>
      <c r="P307" s="8" t="str">
        <f>IF(AND(L307&gt;0,O307&gt;0),(O307-L307)/L307,"")</f>
        <v/>
      </c>
      <c r="Q307" s="9"/>
      <c r="R307" s="9">
        <v>1</v>
      </c>
      <c r="S307" s="10">
        <f>IF(N307&gt;0,TODAY()-N307,"")</f>
        <v>224</v>
      </c>
    </row>
    <row r="308" ht="17" customHeight="1" spans="1:19" x14ac:dyDescent="0.25">
      <c r="A308" s="11" t="s">
        <v>20</v>
      </c>
      <c r="B308" s="11" t="s">
        <v>430</v>
      </c>
      <c r="C308" s="11" t="s">
        <v>637</v>
      </c>
      <c r="D308" s="11" t="s">
        <v>638</v>
      </c>
      <c r="E308" s="12">
        <v>50</v>
      </c>
      <c r="F308" s="13">
        <v>22</v>
      </c>
      <c r="G308" s="14">
        <v>45740</v>
      </c>
      <c r="H308" s="13">
        <v>22</v>
      </c>
      <c r="I308" s="15" t="s">
        <v>24</v>
      </c>
      <c r="J308" s="13"/>
      <c r="K308" s="16" t="str">
        <f>IF(AND(H308&gt;0,J308&gt;0),(J308-H308)/H308,"")</f>
        <v/>
      </c>
      <c r="L308" s="13"/>
      <c r="M308" s="16" t="str">
        <f>IF(AND(J308&gt;0,L308&gt;0),(L308-J308)/J308,IF(AND(H308&gt;0,L308&gt;0),(L308-H308)/H308,""))</f>
        <v/>
      </c>
      <c r="N308" s="14">
        <v>45740</v>
      </c>
      <c r="O308" s="13">
        <v>22</v>
      </c>
      <c r="P308" s="16" t="str">
        <f>IF(AND(L308&gt;0,O308&gt;0),(O308-L308)/L308,"")</f>
        <v/>
      </c>
      <c r="Q308" s="18"/>
      <c r="R308" s="18">
        <v>1</v>
      </c>
      <c r="S308" s="10">
        <f>IF(N308&gt;0,TODAY()-N308,"")</f>
        <v>371</v>
      </c>
    </row>
    <row r="309" ht="17" customHeight="1" spans="1:19" x14ac:dyDescent="0.25">
      <c r="A309" s="3" t="s">
        <v>20</v>
      </c>
      <c r="B309" s="3" t="s">
        <v>430</v>
      </c>
      <c r="C309" s="3" t="s">
        <v>639</v>
      </c>
      <c r="D309" s="3" t="s">
        <v>640</v>
      </c>
      <c r="E309" s="4">
        <v>210</v>
      </c>
      <c r="F309" s="5">
        <v>55.095238095238095</v>
      </c>
      <c r="G309" s="6">
        <v>45713</v>
      </c>
      <c r="H309" s="5">
        <v>47.5</v>
      </c>
      <c r="I309" s="7" t="s">
        <v>60</v>
      </c>
      <c r="J309" s="5">
        <v>60</v>
      </c>
      <c r="K309" s="23">
        <f>IF(AND(H309&gt;0,J309&gt;0),(J309-H309)/H309,"")</f>
        <v>0.2631578947368421</v>
      </c>
      <c r="L309" s="5"/>
      <c r="M309" s="8" t="str">
        <f>IF(AND(J309&gt;0,L309&gt;0),(L309-J309)/J309,IF(AND(H309&gt;0,L309&gt;0),(L309-H309)/H309,""))</f>
        <v/>
      </c>
      <c r="N309" s="6">
        <v>45979</v>
      </c>
      <c r="O309" s="5">
        <v>60</v>
      </c>
      <c r="P309" s="8" t="str">
        <f>IF(AND(L309&gt;0,O309&gt;0),(O309-L309)/L309,"")</f>
        <v/>
      </c>
      <c r="Q309" s="9">
        <v>38</v>
      </c>
      <c r="R309" s="9">
        <v>8</v>
      </c>
      <c r="S309" s="21">
        <f>IF(N309&gt;0,TODAY()-N309,"")</f>
        <v>132</v>
      </c>
    </row>
    <row r="310" ht="17" customHeight="1" spans="1:19" x14ac:dyDescent="0.25">
      <c r="A310" s="11" t="s">
        <v>20</v>
      </c>
      <c r="B310" s="11" t="s">
        <v>430</v>
      </c>
      <c r="C310" s="11" t="s">
        <v>641</v>
      </c>
      <c r="D310" s="11" t="s">
        <v>642</v>
      </c>
      <c r="E310" s="12">
        <v>200</v>
      </c>
      <c r="F310" s="13">
        <v>2.68</v>
      </c>
      <c r="G310" s="14">
        <v>45688</v>
      </c>
      <c r="H310" s="13">
        <v>2.68</v>
      </c>
      <c r="I310" s="15" t="s">
        <v>24</v>
      </c>
      <c r="J310" s="13"/>
      <c r="K310" s="16" t="str">
        <f>IF(AND(H310&gt;0,J310&gt;0),(J310-H310)/H310,"")</f>
        <v/>
      </c>
      <c r="L310" s="13"/>
      <c r="M310" s="16" t="str">
        <f>IF(AND(J310&gt;0,L310&gt;0),(L310-J310)/J310,IF(AND(H310&gt;0,L310&gt;0),(L310-H310)/H310,""))</f>
        <v/>
      </c>
      <c r="N310" s="14">
        <v>45688</v>
      </c>
      <c r="O310" s="13">
        <v>2.68</v>
      </c>
      <c r="P310" s="16" t="str">
        <f>IF(AND(L310&gt;0,O310&gt;0),(O310-L310)/L310,"")</f>
        <v/>
      </c>
      <c r="Q310" s="18"/>
      <c r="R310" s="18">
        <v>1</v>
      </c>
      <c r="S310" s="10">
        <f>IF(N310&gt;0,TODAY()-N310,"")</f>
        <v>423</v>
      </c>
    </row>
    <row r="311" ht="17" customHeight="1" spans="1:19" x14ac:dyDescent="0.25">
      <c r="A311" s="3" t="s">
        <v>20</v>
      </c>
      <c r="B311" s="3" t="s">
        <v>430</v>
      </c>
      <c r="C311" s="3" t="s">
        <v>643</v>
      </c>
      <c r="D311" s="3" t="s">
        <v>644</v>
      </c>
      <c r="E311" s="4">
        <v>179</v>
      </c>
      <c r="F311" s="5">
        <v>61.00558659217877</v>
      </c>
      <c r="G311" s="6">
        <v>45698</v>
      </c>
      <c r="H311" s="5">
        <v>100</v>
      </c>
      <c r="I311" s="7" t="s">
        <v>54</v>
      </c>
      <c r="J311" s="5">
        <v>60</v>
      </c>
      <c r="K311" s="26">
        <f>IF(AND(H311&gt;0,J311&gt;0),(J311-H311)/H311,"")</f>
        <v>-0.4</v>
      </c>
      <c r="L311" s="5">
        <v>60</v>
      </c>
      <c r="M311" s="24">
        <f>IF(AND(J311&gt;0,L311&gt;0),(L311-J311)/J311,IF(AND(H311&gt;0,L311&gt;0),(L311-H311)/H311,""))</f>
        <v>0</v>
      </c>
      <c r="N311" s="6">
        <v>46029</v>
      </c>
      <c r="O311" s="5">
        <v>60</v>
      </c>
      <c r="P311" s="8" t="str">
        <f>IF(AND(L311&gt;0,O311&gt;0),(O311-L311)/L311,"")</f>
        <v/>
      </c>
      <c r="Q311" s="9">
        <v>83</v>
      </c>
      <c r="R311" s="9">
        <v>5</v>
      </c>
      <c r="S311" s="19">
        <f>IF(N311&gt;0,TODAY()-N311,"")</f>
        <v>82</v>
      </c>
    </row>
    <row r="312" ht="17" customHeight="1" spans="1:19" x14ac:dyDescent="0.25">
      <c r="A312" s="11" t="s">
        <v>20</v>
      </c>
      <c r="B312" s="11" t="s">
        <v>430</v>
      </c>
      <c r="C312" s="11" t="s">
        <v>645</v>
      </c>
      <c r="D312" s="11" t="s">
        <v>646</v>
      </c>
      <c r="E312" s="12">
        <v>118</v>
      </c>
      <c r="F312" s="13">
        <v>35</v>
      </c>
      <c r="G312" s="14">
        <v>45888</v>
      </c>
      <c r="H312" s="13">
        <v>35</v>
      </c>
      <c r="I312" s="15" t="s">
        <v>54</v>
      </c>
      <c r="J312" s="13">
        <v>35</v>
      </c>
      <c r="K312" s="17">
        <f>IF(AND(H312&gt;0,J312&gt;0),(J312-H312)/H312,"")</f>
        <v>0</v>
      </c>
      <c r="L312" s="13"/>
      <c r="M312" s="16" t="str">
        <f>IF(AND(J312&gt;0,L312&gt;0),(L312-J312)/J312,IF(AND(H312&gt;0,L312&gt;0),(L312-H312)/H312,""))</f>
        <v/>
      </c>
      <c r="N312" s="14">
        <v>45994</v>
      </c>
      <c r="O312" s="13">
        <v>35</v>
      </c>
      <c r="P312" s="16" t="str">
        <f>IF(AND(L312&gt;0,O312&gt;0),(O312-L312)/L312,"")</f>
        <v/>
      </c>
      <c r="Q312" s="18">
        <v>53</v>
      </c>
      <c r="R312" s="18">
        <v>3</v>
      </c>
      <c r="S312" s="21">
        <f>IF(N312&gt;0,TODAY()-N312,"")</f>
        <v>117</v>
      </c>
    </row>
    <row r="313" ht="17" customHeight="1" spans="1:19" x14ac:dyDescent="0.25">
      <c r="A313" s="3" t="s">
        <v>20</v>
      </c>
      <c r="B313" s="3" t="s">
        <v>430</v>
      </c>
      <c r="C313" s="3" t="s">
        <v>647</v>
      </c>
      <c r="D313" s="3" t="s">
        <v>648</v>
      </c>
      <c r="E313" s="4">
        <v>40</v>
      </c>
      <c r="F313" s="5">
        <v>90</v>
      </c>
      <c r="G313" s="6">
        <v>45873</v>
      </c>
      <c r="H313" s="5">
        <v>90</v>
      </c>
      <c r="I313" s="7" t="s">
        <v>24</v>
      </c>
      <c r="J313" s="5"/>
      <c r="K313" s="8" t="str">
        <f>IF(AND(H313&gt;0,J313&gt;0),(J313-H313)/H313,"")</f>
        <v/>
      </c>
      <c r="L313" s="5"/>
      <c r="M313" s="8" t="str">
        <f>IF(AND(J313&gt;0,L313&gt;0),(L313-J313)/J313,IF(AND(H313&gt;0,L313&gt;0),(L313-H313)/H313,""))</f>
        <v/>
      </c>
      <c r="N313" s="6">
        <v>45888</v>
      </c>
      <c r="O313" s="5">
        <v>90</v>
      </c>
      <c r="P313" s="8" t="str">
        <f>IF(AND(L313&gt;0,O313&gt;0),(O313-L313)/L313,"")</f>
        <v/>
      </c>
      <c r="Q313" s="9">
        <v>15</v>
      </c>
      <c r="R313" s="9">
        <v>2</v>
      </c>
      <c r="S313" s="10">
        <f>IF(N313&gt;0,TODAY()-N313,"")</f>
        <v>223</v>
      </c>
    </row>
    <row r="314" ht="17" customHeight="1" spans="1:19" x14ac:dyDescent="0.25">
      <c r="A314" s="11" t="s">
        <v>20</v>
      </c>
      <c r="B314" s="11" t="s">
        <v>430</v>
      </c>
      <c r="C314" s="11" t="s">
        <v>649</v>
      </c>
      <c r="D314" s="11" t="s">
        <v>650</v>
      </c>
      <c r="E314" s="12">
        <v>686</v>
      </c>
      <c r="F314" s="13">
        <v>21.662303206997084</v>
      </c>
      <c r="G314" s="14">
        <v>45749</v>
      </c>
      <c r="H314" s="13">
        <v>22</v>
      </c>
      <c r="I314" s="15" t="s">
        <v>60</v>
      </c>
      <c r="J314" s="13">
        <v>24.17</v>
      </c>
      <c r="K314" s="17">
        <f>IF(AND(H314&gt;0,J314&gt;0),(J314-H314)/H314,"")</f>
        <v>0.09863636363636372</v>
      </c>
      <c r="L314" s="13">
        <v>21.25</v>
      </c>
      <c r="M314" s="25">
        <f>IF(AND(J314&gt;0,L314&gt;0),(L314-J314)/J314,IF(AND(H314&gt;0,L314&gt;0),(L314-H314)/H314,""))</f>
        <v>-0.12081092263136126</v>
      </c>
      <c r="N314" s="14">
        <v>46078</v>
      </c>
      <c r="O314" s="13">
        <v>20.83</v>
      </c>
      <c r="P314" s="25">
        <f>IF(AND(L314&gt;0,O314&gt;0),(O314-L314)/L314,"")</f>
        <v>-0.01976470588235302</v>
      </c>
      <c r="Q314" s="18">
        <v>55</v>
      </c>
      <c r="R314" s="18">
        <v>7</v>
      </c>
      <c r="S314" s="18">
        <f>IF(N314&gt;0,TODAY()-N314,"")</f>
        <v>33</v>
      </c>
    </row>
    <row r="315" ht="17" customHeight="1" spans="1:19" x14ac:dyDescent="0.25">
      <c r="A315" s="3" t="s">
        <v>20</v>
      </c>
      <c r="B315" s="3" t="s">
        <v>430</v>
      </c>
      <c r="C315" s="3" t="s">
        <v>651</v>
      </c>
      <c r="D315" s="3" t="s">
        <v>652</v>
      </c>
      <c r="E315" s="4">
        <v>605</v>
      </c>
      <c r="F315" s="5">
        <v>20.29118456198347</v>
      </c>
      <c r="G315" s="6">
        <v>45775</v>
      </c>
      <c r="H315" s="5">
        <v>22</v>
      </c>
      <c r="I315" s="7" t="s">
        <v>57</v>
      </c>
      <c r="J315" s="5">
        <v>22</v>
      </c>
      <c r="K315" s="24">
        <f>IF(AND(H315&gt;0,J315&gt;0),(J315-H315)/H315,"")</f>
        <v>0</v>
      </c>
      <c r="L315" s="5"/>
      <c r="M315" s="8" t="str">
        <f>IF(AND(J315&gt;0,L315&gt;0),(L315-J315)/J315,IF(AND(H315&gt;0,L315&gt;0),(L315-H315)/H315,""))</f>
        <v/>
      </c>
      <c r="N315" s="6">
        <v>46078</v>
      </c>
      <c r="O315" s="5">
        <v>20.83</v>
      </c>
      <c r="P315" s="26">
        <f>IF(AND(L315&gt;0,O315&gt;0),(O315-L315)/L315,"")</f>
        <v>-0.05318181818181826</v>
      </c>
      <c r="Q315" s="9">
        <v>51</v>
      </c>
      <c r="R315" s="9">
        <v>7</v>
      </c>
      <c r="S315" s="9">
        <f>IF(N315&gt;0,TODAY()-N315,"")</f>
        <v>33</v>
      </c>
    </row>
    <row r="316" ht="17" customHeight="1" spans="1:19" x14ac:dyDescent="0.25">
      <c r="A316" s="11" t="s">
        <v>20</v>
      </c>
      <c r="B316" s="11" t="s">
        <v>430</v>
      </c>
      <c r="C316" s="11" t="s">
        <v>653</v>
      </c>
      <c r="D316" s="11" t="s">
        <v>654</v>
      </c>
      <c r="E316" s="12">
        <v>286</v>
      </c>
      <c r="F316" s="13">
        <v>28.62937062937063</v>
      </c>
      <c r="G316" s="14">
        <v>45793</v>
      </c>
      <c r="H316" s="13">
        <v>28</v>
      </c>
      <c r="I316" s="15" t="s">
        <v>24</v>
      </c>
      <c r="J316" s="13"/>
      <c r="K316" s="16" t="str">
        <f>IF(AND(H316&gt;0,J316&gt;0),(J316-H316)/H316,"")</f>
        <v/>
      </c>
      <c r="L316" s="13"/>
      <c r="M316" s="16" t="str">
        <f>IF(AND(J316&gt;0,L316&gt;0),(L316-J316)/J316,IF(AND(H316&gt;0,L316&gt;0),(L316-H316)/H316,""))</f>
        <v/>
      </c>
      <c r="N316" s="14">
        <v>46062</v>
      </c>
      <c r="O316" s="13">
        <v>33</v>
      </c>
      <c r="P316" s="20">
        <f>IF(AND(L316&gt;0,O316&gt;0),(O316-L316)/L316,"")</f>
        <v>0.17857142857142858</v>
      </c>
      <c r="Q316" s="18">
        <v>67</v>
      </c>
      <c r="R316" s="18">
        <v>5</v>
      </c>
      <c r="S316" s="18">
        <f>IF(N316&gt;0,TODAY()-N316,"")</f>
        <v>49</v>
      </c>
    </row>
    <row r="317" ht="17" customHeight="1" spans="1:19" x14ac:dyDescent="0.25">
      <c r="A317" s="3" t="s">
        <v>20</v>
      </c>
      <c r="B317" s="3" t="s">
        <v>430</v>
      </c>
      <c r="C317" s="3" t="s">
        <v>655</v>
      </c>
      <c r="D317" s="3" t="s">
        <v>656</v>
      </c>
      <c r="E317" s="4">
        <v>86</v>
      </c>
      <c r="F317" s="5">
        <v>31.3953488372093</v>
      </c>
      <c r="G317" s="6">
        <v>45793</v>
      </c>
      <c r="H317" s="5">
        <v>30</v>
      </c>
      <c r="I317" s="7" t="s">
        <v>24</v>
      </c>
      <c r="J317" s="5"/>
      <c r="K317" s="8" t="str">
        <f>IF(AND(H317&gt;0,J317&gt;0),(J317-H317)/H317,"")</f>
        <v/>
      </c>
      <c r="L317" s="5">
        <v>33</v>
      </c>
      <c r="M317" s="22">
        <f>IF(AND(J317&gt;0,L317&gt;0),(L317-J317)/J317,IF(AND(H317&gt;0,L317&gt;0),(L317-H317)/H317,""))</f>
        <v>0.1</v>
      </c>
      <c r="N317" s="6">
        <v>46029</v>
      </c>
      <c r="O317" s="5">
        <v>33</v>
      </c>
      <c r="P317" s="8" t="str">
        <f>IF(AND(L317&gt;0,O317&gt;0),(O317-L317)/L317,"")</f>
        <v/>
      </c>
      <c r="Q317" s="9">
        <v>236</v>
      </c>
      <c r="R317" s="9">
        <v>2</v>
      </c>
      <c r="S317" s="19">
        <f>IF(N317&gt;0,TODAY()-N317,"")</f>
        <v>82</v>
      </c>
    </row>
    <row r="318" ht="17" customHeight="1" spans="1:19" x14ac:dyDescent="0.25">
      <c r="A318" s="11" t="s">
        <v>20</v>
      </c>
      <c r="B318" s="11" t="s">
        <v>430</v>
      </c>
      <c r="C318" s="11" t="s">
        <v>657</v>
      </c>
      <c r="D318" s="11" t="s">
        <v>658</v>
      </c>
      <c r="E318" s="12">
        <v>5</v>
      </c>
      <c r="F318" s="13">
        <v>220</v>
      </c>
      <c r="G318" s="14">
        <v>45897</v>
      </c>
      <c r="H318" s="13">
        <v>220</v>
      </c>
      <c r="I318" s="15" t="s">
        <v>24</v>
      </c>
      <c r="J318" s="13"/>
      <c r="K318" s="16" t="str">
        <f>IF(AND(H318&gt;0,J318&gt;0),(J318-H318)/H318,"")</f>
        <v/>
      </c>
      <c r="L318" s="13"/>
      <c r="M318" s="16" t="str">
        <f>IF(AND(J318&gt;0,L318&gt;0),(L318-J318)/J318,IF(AND(H318&gt;0,L318&gt;0),(L318-H318)/H318,""))</f>
        <v/>
      </c>
      <c r="N318" s="14">
        <v>45897</v>
      </c>
      <c r="O318" s="13">
        <v>220</v>
      </c>
      <c r="P318" s="16" t="str">
        <f>IF(AND(L318&gt;0,O318&gt;0),(O318-L318)/L318,"")</f>
        <v/>
      </c>
      <c r="Q318" s="18"/>
      <c r="R318" s="18">
        <v>1</v>
      </c>
      <c r="S318" s="10">
        <f>IF(N318&gt;0,TODAY()-N318,"")</f>
        <v>214</v>
      </c>
    </row>
    <row r="319" ht="17" customHeight="1" spans="1:19" x14ac:dyDescent="0.25">
      <c r="A319" s="3" t="s">
        <v>20</v>
      </c>
      <c r="B319" s="3" t="s">
        <v>430</v>
      </c>
      <c r="C319" s="3" t="s">
        <v>659</v>
      </c>
      <c r="D319" s="3" t="s">
        <v>660</v>
      </c>
      <c r="E319" s="4">
        <v>5</v>
      </c>
      <c r="F319" s="5">
        <v>320</v>
      </c>
      <c r="G319" s="6">
        <v>45897</v>
      </c>
      <c r="H319" s="5">
        <v>320</v>
      </c>
      <c r="I319" s="7" t="s">
        <v>24</v>
      </c>
      <c r="J319" s="5"/>
      <c r="K319" s="8" t="str">
        <f>IF(AND(H319&gt;0,J319&gt;0),(J319-H319)/H319,"")</f>
        <v/>
      </c>
      <c r="L319" s="5"/>
      <c r="M319" s="8" t="str">
        <f>IF(AND(J319&gt;0,L319&gt;0),(L319-J319)/J319,IF(AND(H319&gt;0,L319&gt;0),(L319-H319)/H319,""))</f>
        <v/>
      </c>
      <c r="N319" s="6">
        <v>45897</v>
      </c>
      <c r="O319" s="5">
        <v>320</v>
      </c>
      <c r="P319" s="8" t="str">
        <f>IF(AND(L319&gt;0,O319&gt;0),(O319-L319)/L319,"")</f>
        <v/>
      </c>
      <c r="Q319" s="9"/>
      <c r="R319" s="9">
        <v>1</v>
      </c>
      <c r="S319" s="10">
        <f>IF(N319&gt;0,TODAY()-N319,"")</f>
        <v>214</v>
      </c>
    </row>
    <row r="320" ht="17" customHeight="1" spans="1:19" x14ac:dyDescent="0.25">
      <c r="A320" s="11" t="s">
        <v>20</v>
      </c>
      <c r="B320" s="11" t="s">
        <v>430</v>
      </c>
      <c r="C320" s="11" t="s">
        <v>661</v>
      </c>
      <c r="D320" s="11" t="s">
        <v>662</v>
      </c>
      <c r="E320" s="12">
        <v>30</v>
      </c>
      <c r="F320" s="13">
        <v>40.666666666666664</v>
      </c>
      <c r="G320" s="14">
        <v>45806</v>
      </c>
      <c r="H320" s="13">
        <v>40</v>
      </c>
      <c r="I320" s="15" t="s">
        <v>24</v>
      </c>
      <c r="J320" s="13"/>
      <c r="K320" s="16" t="str">
        <f>IF(AND(H320&gt;0,J320&gt;0),(J320-H320)/H320,"")</f>
        <v/>
      </c>
      <c r="L320" s="13"/>
      <c r="M320" s="16" t="str">
        <f>IF(AND(J320&gt;0,L320&gt;0),(L320-J320)/J320,IF(AND(H320&gt;0,L320&gt;0),(L320-H320)/H320,""))</f>
        <v/>
      </c>
      <c r="N320" s="14">
        <v>45897</v>
      </c>
      <c r="O320" s="13">
        <v>42</v>
      </c>
      <c r="P320" s="16" t="str">
        <f>IF(AND(L320&gt;0,O320&gt;0),(O320-L320)/L320,"")</f>
        <v/>
      </c>
      <c r="Q320" s="18">
        <v>91</v>
      </c>
      <c r="R320" s="18">
        <v>2</v>
      </c>
      <c r="S320" s="10">
        <f>IF(N320&gt;0,TODAY()-N320,"")</f>
        <v>214</v>
      </c>
    </row>
    <row r="321" ht="17" customHeight="1" spans="1:19" x14ac:dyDescent="0.25">
      <c r="A321" s="3" t="s">
        <v>20</v>
      </c>
      <c r="B321" s="3" t="s">
        <v>430</v>
      </c>
      <c r="C321" s="3" t="s">
        <v>663</v>
      </c>
      <c r="D321" s="3" t="s">
        <v>664</v>
      </c>
      <c r="E321" s="4">
        <v>40</v>
      </c>
      <c r="F321" s="5">
        <v>38.6875</v>
      </c>
      <c r="G321" s="6">
        <v>45776</v>
      </c>
      <c r="H321" s="5">
        <v>37.5</v>
      </c>
      <c r="I321" s="7" t="s">
        <v>24</v>
      </c>
      <c r="J321" s="5"/>
      <c r="K321" s="8" t="str">
        <f>IF(AND(H321&gt;0,J321&gt;0),(J321-H321)/H321,"")</f>
        <v/>
      </c>
      <c r="L321" s="5">
        <v>40</v>
      </c>
      <c r="M321" s="24">
        <f>IF(AND(J321&gt;0,L321&gt;0),(L321-J321)/J321,IF(AND(H321&gt;0,L321&gt;0),(L321-H321)/H321,""))</f>
        <v>0.06666666666666667</v>
      </c>
      <c r="N321" s="6">
        <v>46090</v>
      </c>
      <c r="O321" s="5">
        <v>45</v>
      </c>
      <c r="P321" s="22">
        <f>IF(AND(L321&gt;0,O321&gt;0),(O321-L321)/L321,"")</f>
        <v>0.125</v>
      </c>
      <c r="Q321" s="9">
        <v>105</v>
      </c>
      <c r="R321" s="9">
        <v>4</v>
      </c>
      <c r="S321" s="9">
        <f>IF(N321&gt;0,TODAY()-N321,"")</f>
        <v>21</v>
      </c>
    </row>
    <row r="322" ht="17" customHeight="1" spans="1:19" x14ac:dyDescent="0.25">
      <c r="A322" s="11" t="s">
        <v>20</v>
      </c>
      <c r="B322" s="11" t="s">
        <v>430</v>
      </c>
      <c r="C322" s="11" t="s">
        <v>665</v>
      </c>
      <c r="D322" s="11" t="s">
        <v>666</v>
      </c>
      <c r="E322" s="12">
        <v>10</v>
      </c>
      <c r="F322" s="13">
        <v>80</v>
      </c>
      <c r="G322" s="14">
        <v>45897</v>
      </c>
      <c r="H322" s="13">
        <v>80</v>
      </c>
      <c r="I322" s="15" t="s">
        <v>24</v>
      </c>
      <c r="J322" s="13"/>
      <c r="K322" s="16" t="str">
        <f>IF(AND(H322&gt;0,J322&gt;0),(J322-H322)/H322,"")</f>
        <v/>
      </c>
      <c r="L322" s="13"/>
      <c r="M322" s="16" t="str">
        <f>IF(AND(J322&gt;0,L322&gt;0),(L322-J322)/J322,IF(AND(H322&gt;0,L322&gt;0),(L322-H322)/H322,""))</f>
        <v/>
      </c>
      <c r="N322" s="14">
        <v>45897</v>
      </c>
      <c r="O322" s="13">
        <v>80</v>
      </c>
      <c r="P322" s="16" t="str">
        <f>IF(AND(L322&gt;0,O322&gt;0),(O322-L322)/L322,"")</f>
        <v/>
      </c>
      <c r="Q322" s="18"/>
      <c r="R322" s="18">
        <v>1</v>
      </c>
      <c r="S322" s="10">
        <f>IF(N322&gt;0,TODAY()-N322,"")</f>
        <v>214</v>
      </c>
    </row>
    <row r="323" ht="17" customHeight="1" spans="1:19" x14ac:dyDescent="0.25">
      <c r="A323" s="3" t="s">
        <v>20</v>
      </c>
      <c r="B323" s="3" t="s">
        <v>430</v>
      </c>
      <c r="C323" s="3" t="s">
        <v>667</v>
      </c>
      <c r="D323" s="3" t="s">
        <v>668</v>
      </c>
      <c r="E323" s="4">
        <v>20</v>
      </c>
      <c r="F323" s="5">
        <v>112.2</v>
      </c>
      <c r="G323" s="6">
        <v>45800</v>
      </c>
      <c r="H323" s="5">
        <v>112.2</v>
      </c>
      <c r="I323" s="7" t="s">
        <v>24</v>
      </c>
      <c r="J323" s="5"/>
      <c r="K323" s="8" t="str">
        <f>IF(AND(H323&gt;0,J323&gt;0),(J323-H323)/H323,"")</f>
        <v/>
      </c>
      <c r="L323" s="5"/>
      <c r="M323" s="8" t="str">
        <f>IF(AND(J323&gt;0,L323&gt;0),(L323-J323)/J323,IF(AND(H323&gt;0,L323&gt;0),(L323-H323)/H323,""))</f>
        <v/>
      </c>
      <c r="N323" s="6">
        <v>45800</v>
      </c>
      <c r="O323" s="5">
        <v>112.2</v>
      </c>
      <c r="P323" s="8" t="str">
        <f>IF(AND(L323&gt;0,O323&gt;0),(O323-L323)/L323,"")</f>
        <v/>
      </c>
      <c r="Q323" s="9"/>
      <c r="R323" s="9">
        <v>1</v>
      </c>
      <c r="S323" s="10">
        <f>IF(N323&gt;0,TODAY()-N323,"")</f>
        <v>311</v>
      </c>
    </row>
    <row r="324" ht="17" customHeight="1" spans="1:19" x14ac:dyDescent="0.25">
      <c r="A324" s="11" t="s">
        <v>20</v>
      </c>
      <c r="B324" s="11" t="s">
        <v>430</v>
      </c>
      <c r="C324" s="11" t="s">
        <v>669</v>
      </c>
      <c r="D324" s="11" t="s">
        <v>670</v>
      </c>
      <c r="E324" s="12">
        <v>5</v>
      </c>
      <c r="F324" s="13">
        <v>190</v>
      </c>
      <c r="G324" s="14">
        <v>45897</v>
      </c>
      <c r="H324" s="13">
        <v>190</v>
      </c>
      <c r="I324" s="15" t="s">
        <v>24</v>
      </c>
      <c r="J324" s="13"/>
      <c r="K324" s="16" t="str">
        <f>IF(AND(H324&gt;0,J324&gt;0),(J324-H324)/H324,"")</f>
        <v/>
      </c>
      <c r="L324" s="13"/>
      <c r="M324" s="16" t="str">
        <f>IF(AND(J324&gt;0,L324&gt;0),(L324-J324)/J324,IF(AND(H324&gt;0,L324&gt;0),(L324-H324)/H324,""))</f>
        <v/>
      </c>
      <c r="N324" s="14">
        <v>45897</v>
      </c>
      <c r="O324" s="13">
        <v>190</v>
      </c>
      <c r="P324" s="16" t="str">
        <f>IF(AND(L324&gt;0,O324&gt;0),(O324-L324)/L324,"")</f>
        <v/>
      </c>
      <c r="Q324" s="18"/>
      <c r="R324" s="18">
        <v>1</v>
      </c>
      <c r="S324" s="10">
        <f>IF(N324&gt;0,TODAY()-N324,"")</f>
        <v>214</v>
      </c>
    </row>
    <row r="325" ht="17" customHeight="1" spans="1:19" x14ac:dyDescent="0.25">
      <c r="A325" s="3" t="s">
        <v>20</v>
      </c>
      <c r="B325" s="3" t="s">
        <v>430</v>
      </c>
      <c r="C325" s="3" t="s">
        <v>671</v>
      </c>
      <c r="D325" s="3" t="s">
        <v>672</v>
      </c>
      <c r="E325" s="4">
        <v>36</v>
      </c>
      <c r="F325" s="5">
        <v>54.145833333333336</v>
      </c>
      <c r="G325" s="6">
        <v>45693</v>
      </c>
      <c r="H325" s="5">
        <v>49.98</v>
      </c>
      <c r="I325" s="7" t="s">
        <v>24</v>
      </c>
      <c r="J325" s="5"/>
      <c r="K325" s="8" t="str">
        <f>IF(AND(H325&gt;0,J325&gt;0),(J325-H325)/H325,"")</f>
        <v/>
      </c>
      <c r="L325" s="5"/>
      <c r="M325" s="8" t="str">
        <f>IF(AND(J325&gt;0,L325&gt;0),(L325-J325)/J325,IF(AND(H325&gt;0,L325&gt;0),(L325-H325)/H325,""))</f>
        <v/>
      </c>
      <c r="N325" s="6">
        <v>45912</v>
      </c>
      <c r="O325" s="5">
        <v>57.06</v>
      </c>
      <c r="P325" s="8" t="str">
        <f>IF(AND(L325&gt;0,O325&gt;0),(O325-L325)/L325,"")</f>
        <v/>
      </c>
      <c r="Q325" s="9">
        <v>110</v>
      </c>
      <c r="R325" s="9">
        <v>3</v>
      </c>
      <c r="S325" s="10">
        <f>IF(N325&gt;0,TODAY()-N325,"")</f>
        <v>199</v>
      </c>
    </row>
    <row r="326" ht="17" customHeight="1" spans="1:19" x14ac:dyDescent="0.25">
      <c r="A326" s="11" t="s">
        <v>20</v>
      </c>
      <c r="B326" s="11" t="s">
        <v>430</v>
      </c>
      <c r="C326" s="11" t="s">
        <v>673</v>
      </c>
      <c r="D326" s="11" t="s">
        <v>674</v>
      </c>
      <c r="E326" s="12">
        <v>37</v>
      </c>
      <c r="F326" s="13">
        <v>49.9</v>
      </c>
      <c r="G326" s="14">
        <v>46013</v>
      </c>
      <c r="H326" s="13">
        <v>49.9</v>
      </c>
      <c r="I326" s="15" t="s">
        <v>54</v>
      </c>
      <c r="J326" s="13">
        <v>49.9</v>
      </c>
      <c r="K326" s="17">
        <f>IF(AND(H326&gt;0,J326&gt;0),(J326-H326)/H326,"")</f>
        <v>0</v>
      </c>
      <c r="L326" s="13"/>
      <c r="M326" s="16" t="str">
        <f>IF(AND(J326&gt;0,L326&gt;0),(L326-J326)/J326,IF(AND(H326&gt;0,L326&gt;0),(L326-H326)/H326,""))</f>
        <v/>
      </c>
      <c r="N326" s="14">
        <v>46017</v>
      </c>
      <c r="O326" s="13">
        <v>49.9</v>
      </c>
      <c r="P326" s="16" t="str">
        <f>IF(AND(L326&gt;0,O326&gt;0),(O326-L326)/L326,"")</f>
        <v/>
      </c>
      <c r="Q326" s="18">
        <v>4</v>
      </c>
      <c r="R326" s="18">
        <v>2</v>
      </c>
      <c r="S326" s="21">
        <f>IF(N326&gt;0,TODAY()-N326,"")</f>
        <v>94</v>
      </c>
    </row>
    <row r="327" ht="17" customHeight="1" spans="1:19" x14ac:dyDescent="0.25">
      <c r="A327" s="3" t="s">
        <v>20</v>
      </c>
      <c r="B327" s="3" t="s">
        <v>430</v>
      </c>
      <c r="C327" s="3" t="s">
        <v>675</v>
      </c>
      <c r="D327" s="3" t="s">
        <v>676</v>
      </c>
      <c r="E327" s="4">
        <v>15</v>
      </c>
      <c r="F327" s="5">
        <v>200</v>
      </c>
      <c r="G327" s="6">
        <v>45793</v>
      </c>
      <c r="H327" s="5">
        <v>200</v>
      </c>
      <c r="I327" s="7" t="s">
        <v>24</v>
      </c>
      <c r="J327" s="5"/>
      <c r="K327" s="8" t="str">
        <f>IF(AND(H327&gt;0,J327&gt;0),(J327-H327)/H327,"")</f>
        <v/>
      </c>
      <c r="L327" s="5"/>
      <c r="M327" s="8" t="str">
        <f>IF(AND(J327&gt;0,L327&gt;0),(L327-J327)/J327,IF(AND(H327&gt;0,L327&gt;0),(L327-H327)/H327,""))</f>
        <v/>
      </c>
      <c r="N327" s="6">
        <v>45793</v>
      </c>
      <c r="O327" s="5">
        <v>200</v>
      </c>
      <c r="P327" s="8" t="str">
        <f>IF(AND(L327&gt;0,O327&gt;0),(O327-L327)/L327,"")</f>
        <v/>
      </c>
      <c r="Q327" s="9"/>
      <c r="R327" s="9">
        <v>1</v>
      </c>
      <c r="S327" s="10">
        <f>IF(N327&gt;0,TODAY()-N327,"")</f>
        <v>318</v>
      </c>
    </row>
    <row r="328" ht="17" customHeight="1" spans="1:19" x14ac:dyDescent="0.25">
      <c r="A328" s="11" t="s">
        <v>20</v>
      </c>
      <c r="B328" s="11" t="s">
        <v>430</v>
      </c>
      <c r="C328" s="11" t="s">
        <v>677</v>
      </c>
      <c r="D328" s="11" t="s">
        <v>678</v>
      </c>
      <c r="E328" s="12">
        <v>60</v>
      </c>
      <c r="F328" s="13">
        <v>32.5</v>
      </c>
      <c r="G328" s="14">
        <v>45750</v>
      </c>
      <c r="H328" s="13">
        <v>32.5</v>
      </c>
      <c r="I328" s="15" t="s">
        <v>24</v>
      </c>
      <c r="J328" s="13"/>
      <c r="K328" s="16" t="str">
        <f>IF(AND(H328&gt;0,J328&gt;0),(J328-H328)/H328,"")</f>
        <v/>
      </c>
      <c r="L328" s="13"/>
      <c r="M328" s="16" t="str">
        <f>IF(AND(J328&gt;0,L328&gt;0),(L328-J328)/J328,IF(AND(H328&gt;0,L328&gt;0),(L328-H328)/H328,""))</f>
        <v/>
      </c>
      <c r="N328" s="14">
        <v>45750</v>
      </c>
      <c r="O328" s="13">
        <v>32.5</v>
      </c>
      <c r="P328" s="16" t="str">
        <f>IF(AND(L328&gt;0,O328&gt;0),(O328-L328)/L328,"")</f>
        <v/>
      </c>
      <c r="Q328" s="18"/>
      <c r="R328" s="18">
        <v>1</v>
      </c>
      <c r="S328" s="10">
        <f>IF(N328&gt;0,TODAY()-N328,"")</f>
        <v>361</v>
      </c>
    </row>
    <row r="329" ht="17" customHeight="1" spans="1:19" x14ac:dyDescent="0.25">
      <c r="A329" s="3" t="s">
        <v>20</v>
      </c>
      <c r="B329" s="3" t="s">
        <v>430</v>
      </c>
      <c r="C329" s="3" t="s">
        <v>679</v>
      </c>
      <c r="D329" s="3" t="s">
        <v>680</v>
      </c>
      <c r="E329" s="4">
        <v>33</v>
      </c>
      <c r="F329" s="5">
        <v>68.08090909090909</v>
      </c>
      <c r="G329" s="6">
        <v>45915</v>
      </c>
      <c r="H329" s="5">
        <v>17.78</v>
      </c>
      <c r="I329" s="7" t="s">
        <v>24</v>
      </c>
      <c r="J329" s="5"/>
      <c r="K329" s="8" t="str">
        <f>IF(AND(H329&gt;0,J329&gt;0),(J329-H329)/H329,"")</f>
        <v/>
      </c>
      <c r="L329" s="5"/>
      <c r="M329" s="8" t="str">
        <f>IF(AND(J329&gt;0,L329&gt;0),(L329-J329)/J329,IF(AND(H329&gt;0,L329&gt;0),(L329-H329)/H329,""))</f>
        <v/>
      </c>
      <c r="N329" s="6">
        <v>46064</v>
      </c>
      <c r="O329" s="5">
        <v>110</v>
      </c>
      <c r="P329" s="23">
        <f>IF(AND(L329&gt;0,O329&gt;0),(O329-L329)/L329,"")</f>
        <v>5.186726659167603</v>
      </c>
      <c r="Q329" s="9">
        <v>149</v>
      </c>
      <c r="R329" s="9">
        <v>2</v>
      </c>
      <c r="S329" s="9">
        <f>IF(N329&gt;0,TODAY()-N329,"")</f>
        <v>47</v>
      </c>
    </row>
    <row r="330" ht="17" customHeight="1" spans="1:19" x14ac:dyDescent="0.25">
      <c r="A330" s="11" t="s">
        <v>20</v>
      </c>
      <c r="B330" s="11" t="s">
        <v>430</v>
      </c>
      <c r="C330" s="11" t="s">
        <v>681</v>
      </c>
      <c r="D330" s="11" t="s">
        <v>682</v>
      </c>
      <c r="E330" s="12">
        <v>2000</v>
      </c>
      <c r="F330" s="13">
        <v>0.55</v>
      </c>
      <c r="G330" s="14">
        <v>45663</v>
      </c>
      <c r="H330" s="13">
        <v>0.55</v>
      </c>
      <c r="I330" s="15" t="s">
        <v>24</v>
      </c>
      <c r="J330" s="13"/>
      <c r="K330" s="16" t="str">
        <f>IF(AND(H330&gt;0,J330&gt;0),(J330-H330)/H330,"")</f>
        <v/>
      </c>
      <c r="L330" s="13"/>
      <c r="M330" s="16" t="str">
        <f>IF(AND(J330&gt;0,L330&gt;0),(L330-J330)/J330,IF(AND(H330&gt;0,L330&gt;0),(L330-H330)/H330,""))</f>
        <v/>
      </c>
      <c r="N330" s="14">
        <v>45663</v>
      </c>
      <c r="O330" s="13">
        <v>0.55</v>
      </c>
      <c r="P330" s="16" t="str">
        <f>IF(AND(L330&gt;0,O330&gt;0),(O330-L330)/L330,"")</f>
        <v/>
      </c>
      <c r="Q330" s="18"/>
      <c r="R330" s="18">
        <v>1</v>
      </c>
      <c r="S330" s="10">
        <f>IF(N330&gt;0,TODAY()-N330,"")</f>
        <v>448</v>
      </c>
    </row>
    <row r="331" ht="17" customHeight="1" spans="1:19" x14ac:dyDescent="0.25">
      <c r="A331" s="3" t="s">
        <v>20</v>
      </c>
      <c r="B331" s="3" t="s">
        <v>430</v>
      </c>
      <c r="C331" s="3" t="s">
        <v>683</v>
      </c>
      <c r="D331" s="3" t="s">
        <v>684</v>
      </c>
      <c r="E331" s="4">
        <v>1000</v>
      </c>
      <c r="F331" s="5">
        <v>1.8</v>
      </c>
      <c r="G331" s="6">
        <v>45800</v>
      </c>
      <c r="H331" s="5">
        <v>1.8</v>
      </c>
      <c r="I331" s="7" t="s">
        <v>24</v>
      </c>
      <c r="J331" s="5"/>
      <c r="K331" s="8" t="str">
        <f>IF(AND(H331&gt;0,J331&gt;0),(J331-H331)/H331,"")</f>
        <v/>
      </c>
      <c r="L331" s="5"/>
      <c r="M331" s="8" t="str">
        <f>IF(AND(J331&gt;0,L331&gt;0),(L331-J331)/J331,IF(AND(H331&gt;0,L331&gt;0),(L331-H331)/H331,""))</f>
        <v/>
      </c>
      <c r="N331" s="6">
        <v>45800</v>
      </c>
      <c r="O331" s="5">
        <v>1.8</v>
      </c>
      <c r="P331" s="8" t="str">
        <f>IF(AND(L331&gt;0,O331&gt;0),(O331-L331)/L331,"")</f>
        <v/>
      </c>
      <c r="Q331" s="9"/>
      <c r="R331" s="9">
        <v>1</v>
      </c>
      <c r="S331" s="10">
        <f>IF(N331&gt;0,TODAY()-N331,"")</f>
        <v>311</v>
      </c>
    </row>
    <row r="332" ht="17" customHeight="1" spans="1:19" x14ac:dyDescent="0.25">
      <c r="A332" s="11" t="s">
        <v>20</v>
      </c>
      <c r="B332" s="11" t="s">
        <v>430</v>
      </c>
      <c r="C332" s="11" t="s">
        <v>685</v>
      </c>
      <c r="D332" s="11" t="s">
        <v>686</v>
      </c>
      <c r="E332" s="12">
        <v>27</v>
      </c>
      <c r="F332" s="13">
        <v>211.83333333333334</v>
      </c>
      <c r="G332" s="14">
        <v>45709</v>
      </c>
      <c r="H332" s="13">
        <v>195</v>
      </c>
      <c r="I332" s="15" t="s">
        <v>24</v>
      </c>
      <c r="J332" s="13"/>
      <c r="K332" s="16" t="str">
        <f>IF(AND(H332&gt;0,J332&gt;0),(J332-H332)/H332,"")</f>
        <v/>
      </c>
      <c r="L332" s="13">
        <v>238.5</v>
      </c>
      <c r="M332" s="20">
        <f>IF(AND(J332&gt;0,L332&gt;0),(L332-J332)/J332,IF(AND(H332&gt;0,L332&gt;0),(L332-H332)/H332,""))</f>
        <v>0.2230769230769231</v>
      </c>
      <c r="N332" s="14">
        <v>46043</v>
      </c>
      <c r="O332" s="13">
        <v>238.5</v>
      </c>
      <c r="P332" s="16" t="str">
        <f>IF(AND(L332&gt;0,O332&gt;0),(O332-L332)/L332,"")</f>
        <v/>
      </c>
      <c r="Q332" s="18">
        <v>84</v>
      </c>
      <c r="R332" s="18">
        <v>5</v>
      </c>
      <c r="S332" s="19">
        <f>IF(N332&gt;0,TODAY()-N332,"")</f>
        <v>68</v>
      </c>
    </row>
    <row r="333" ht="17" customHeight="1" spans="1:19" x14ac:dyDescent="0.25">
      <c r="A333" s="3" t="s">
        <v>20</v>
      </c>
      <c r="B333" s="3" t="s">
        <v>430</v>
      </c>
      <c r="C333" s="3" t="s">
        <v>687</v>
      </c>
      <c r="D333" s="3" t="s">
        <v>688</v>
      </c>
      <c r="E333" s="4">
        <v>72.30000000000001</v>
      </c>
      <c r="F333" s="5">
        <v>57.999999999999986</v>
      </c>
      <c r="G333" s="6">
        <v>45709</v>
      </c>
      <c r="H333" s="5">
        <v>58</v>
      </c>
      <c r="I333" s="7" t="s">
        <v>24</v>
      </c>
      <c r="J333" s="5"/>
      <c r="K333" s="8" t="str">
        <f>IF(AND(H333&gt;0,J333&gt;0),(J333-H333)/H333,"")</f>
        <v/>
      </c>
      <c r="L333" s="5"/>
      <c r="M333" s="8" t="str">
        <f>IF(AND(J333&gt;0,L333&gt;0),(L333-J333)/J333,IF(AND(H333&gt;0,L333&gt;0),(L333-H333)/H333,""))</f>
        <v/>
      </c>
      <c r="N333" s="6">
        <v>45790</v>
      </c>
      <c r="O333" s="5">
        <v>58</v>
      </c>
      <c r="P333" s="8" t="str">
        <f>IF(AND(L333&gt;0,O333&gt;0),(O333-L333)/L333,"")</f>
        <v/>
      </c>
      <c r="Q333" s="9">
        <v>81</v>
      </c>
      <c r="R333" s="9">
        <v>2</v>
      </c>
      <c r="S333" s="10">
        <f>IF(N333&gt;0,TODAY()-N333,"")</f>
        <v>321</v>
      </c>
    </row>
    <row r="334" ht="17" customHeight="1" spans="1:19" x14ac:dyDescent="0.25">
      <c r="A334" s="11" t="s">
        <v>20</v>
      </c>
      <c r="B334" s="11" t="s">
        <v>430</v>
      </c>
      <c r="C334" s="11" t="s">
        <v>689</v>
      </c>
      <c r="D334" s="11" t="s">
        <v>690</v>
      </c>
      <c r="E334" s="12">
        <v>50</v>
      </c>
      <c r="F334" s="13">
        <v>5.5</v>
      </c>
      <c r="G334" s="14">
        <v>45793</v>
      </c>
      <c r="H334" s="13">
        <v>5.5</v>
      </c>
      <c r="I334" s="15" t="s">
        <v>24</v>
      </c>
      <c r="J334" s="13"/>
      <c r="K334" s="16" t="str">
        <f>IF(AND(H334&gt;0,J334&gt;0),(J334-H334)/H334,"")</f>
        <v/>
      </c>
      <c r="L334" s="13"/>
      <c r="M334" s="16" t="str">
        <f>IF(AND(J334&gt;0,L334&gt;0),(L334-J334)/J334,IF(AND(H334&gt;0,L334&gt;0),(L334-H334)/H334,""))</f>
        <v/>
      </c>
      <c r="N334" s="14">
        <v>45793</v>
      </c>
      <c r="O334" s="13">
        <v>5.5</v>
      </c>
      <c r="P334" s="16" t="str">
        <f>IF(AND(L334&gt;0,O334&gt;0),(O334-L334)/L334,"")</f>
        <v/>
      </c>
      <c r="Q334" s="18"/>
      <c r="R334" s="18">
        <v>1</v>
      </c>
      <c r="S334" s="10">
        <f>IF(N334&gt;0,TODAY()-N334,"")</f>
        <v>318</v>
      </c>
    </row>
    <row r="335" ht="17" customHeight="1" spans="1:19" x14ac:dyDescent="0.25">
      <c r="A335" s="3" t="s">
        <v>20</v>
      </c>
      <c r="B335" s="3" t="s">
        <v>430</v>
      </c>
      <c r="C335" s="3" t="s">
        <v>691</v>
      </c>
      <c r="D335" s="3" t="s">
        <v>692</v>
      </c>
      <c r="E335" s="4">
        <v>1500</v>
      </c>
      <c r="F335" s="5">
        <v>1.2</v>
      </c>
      <c r="G335" s="6">
        <v>45769</v>
      </c>
      <c r="H335" s="5">
        <v>1.2</v>
      </c>
      <c r="I335" s="7" t="s">
        <v>24</v>
      </c>
      <c r="J335" s="5"/>
      <c r="K335" s="8" t="str">
        <f>IF(AND(H335&gt;0,J335&gt;0),(J335-H335)/H335,"")</f>
        <v/>
      </c>
      <c r="L335" s="5">
        <v>1.2</v>
      </c>
      <c r="M335" s="24">
        <f>IF(AND(J335&gt;0,L335&gt;0),(L335-J335)/J335,IF(AND(H335&gt;0,L335&gt;0),(L335-H335)/H335,""))</f>
        <v>0</v>
      </c>
      <c r="N335" s="6">
        <v>46038</v>
      </c>
      <c r="O335" s="5">
        <v>1.2</v>
      </c>
      <c r="P335" s="8" t="str">
        <f>IF(AND(L335&gt;0,O335&gt;0),(O335-L335)/L335,"")</f>
        <v/>
      </c>
      <c r="Q335" s="9">
        <v>269</v>
      </c>
      <c r="R335" s="9">
        <v>2</v>
      </c>
      <c r="S335" s="19">
        <f>IF(N335&gt;0,TODAY()-N335,"")</f>
        <v>73</v>
      </c>
    </row>
    <row r="336" ht="17" customHeight="1" spans="1:19" x14ac:dyDescent="0.25">
      <c r="A336" s="11" t="s">
        <v>20</v>
      </c>
      <c r="B336" s="11" t="s">
        <v>430</v>
      </c>
      <c r="C336" s="11" t="s">
        <v>693</v>
      </c>
      <c r="D336" s="11" t="s">
        <v>694</v>
      </c>
      <c r="E336" s="12">
        <v>1000</v>
      </c>
      <c r="F336" s="13">
        <v>0.55</v>
      </c>
      <c r="G336" s="14">
        <v>45973</v>
      </c>
      <c r="H336" s="13">
        <v>0.55</v>
      </c>
      <c r="I336" s="15" t="s">
        <v>60</v>
      </c>
      <c r="J336" s="13">
        <v>0.55</v>
      </c>
      <c r="K336" s="17">
        <f>IF(AND(H336&gt;0,J336&gt;0),(J336-H336)/H336,"")</f>
        <v>0</v>
      </c>
      <c r="L336" s="13"/>
      <c r="M336" s="16" t="str">
        <f>IF(AND(J336&gt;0,L336&gt;0),(L336-J336)/J336,IF(AND(H336&gt;0,L336&gt;0),(L336-H336)/H336,""))</f>
        <v/>
      </c>
      <c r="N336" s="14">
        <v>45973</v>
      </c>
      <c r="O336" s="13">
        <v>0.55</v>
      </c>
      <c r="P336" s="16" t="str">
        <f>IF(AND(L336&gt;0,O336&gt;0),(O336-L336)/L336,"")</f>
        <v/>
      </c>
      <c r="Q336" s="18"/>
      <c r="R336" s="18">
        <v>1</v>
      </c>
      <c r="S336" s="21">
        <f>IF(N336&gt;0,TODAY()-N336,"")</f>
        <v>138</v>
      </c>
    </row>
    <row r="337" ht="17" customHeight="1" spans="1:19" x14ac:dyDescent="0.25">
      <c r="A337" s="3" t="s">
        <v>20</v>
      </c>
      <c r="B337" s="3" t="s">
        <v>430</v>
      </c>
      <c r="C337" s="3" t="s">
        <v>695</v>
      </c>
      <c r="D337" s="3" t="s">
        <v>696</v>
      </c>
      <c r="E337" s="4">
        <v>6</v>
      </c>
      <c r="F337" s="5">
        <v>630</v>
      </c>
      <c r="G337" s="6">
        <v>45735</v>
      </c>
      <c r="H337" s="5">
        <v>630</v>
      </c>
      <c r="I337" s="7" t="s">
        <v>24</v>
      </c>
      <c r="J337" s="5"/>
      <c r="K337" s="8" t="str">
        <f>IF(AND(H337&gt;0,J337&gt;0),(J337-H337)/H337,"")</f>
        <v/>
      </c>
      <c r="L337" s="5"/>
      <c r="M337" s="8" t="str">
        <f>IF(AND(J337&gt;0,L337&gt;0),(L337-J337)/J337,IF(AND(H337&gt;0,L337&gt;0),(L337-H337)/H337,""))</f>
        <v/>
      </c>
      <c r="N337" s="6">
        <v>45735</v>
      </c>
      <c r="O337" s="5">
        <v>630</v>
      </c>
      <c r="P337" s="8" t="str">
        <f>IF(AND(L337&gt;0,O337&gt;0),(O337-L337)/L337,"")</f>
        <v/>
      </c>
      <c r="Q337" s="9"/>
      <c r="R337" s="9">
        <v>1</v>
      </c>
      <c r="S337" s="10">
        <f>IF(N337&gt;0,TODAY()-N337,"")</f>
        <v>376</v>
      </c>
    </row>
    <row r="338" ht="17" customHeight="1" spans="1:19" x14ac:dyDescent="0.25">
      <c r="A338" s="11" t="s">
        <v>20</v>
      </c>
      <c r="B338" s="11" t="s">
        <v>430</v>
      </c>
      <c r="C338" s="11" t="s">
        <v>697</v>
      </c>
      <c r="D338" s="11" t="s">
        <v>698</v>
      </c>
      <c r="E338" s="12">
        <v>1</v>
      </c>
      <c r="F338" s="13">
        <v>499.92</v>
      </c>
      <c r="G338" s="14">
        <v>45889</v>
      </c>
      <c r="H338" s="13">
        <v>499.92</v>
      </c>
      <c r="I338" s="15" t="s">
        <v>24</v>
      </c>
      <c r="J338" s="13"/>
      <c r="K338" s="16" t="str">
        <f>IF(AND(H338&gt;0,J338&gt;0),(J338-H338)/H338,"")</f>
        <v/>
      </c>
      <c r="L338" s="13"/>
      <c r="M338" s="16" t="str">
        <f>IF(AND(J338&gt;0,L338&gt;0),(L338-J338)/J338,IF(AND(H338&gt;0,L338&gt;0),(L338-H338)/H338,""))</f>
        <v/>
      </c>
      <c r="N338" s="14">
        <v>45889</v>
      </c>
      <c r="O338" s="13">
        <v>499.92</v>
      </c>
      <c r="P338" s="16" t="str">
        <f>IF(AND(L338&gt;0,O338&gt;0),(O338-L338)/L338,"")</f>
        <v/>
      </c>
      <c r="Q338" s="18"/>
      <c r="R338" s="18">
        <v>1</v>
      </c>
      <c r="S338" s="10">
        <f>IF(N338&gt;0,TODAY()-N338,"")</f>
        <v>222</v>
      </c>
    </row>
    <row r="339" ht="17" customHeight="1" spans="1:19" x14ac:dyDescent="0.25">
      <c r="A339" s="3" t="s">
        <v>20</v>
      </c>
      <c r="B339" s="3" t="s">
        <v>430</v>
      </c>
      <c r="C339" s="3" t="s">
        <v>699</v>
      </c>
      <c r="D339" s="3" t="s">
        <v>700</v>
      </c>
      <c r="E339" s="4">
        <v>30</v>
      </c>
      <c r="F339" s="5">
        <v>44</v>
      </c>
      <c r="G339" s="6">
        <v>45719</v>
      </c>
      <c r="H339" s="5">
        <v>44</v>
      </c>
      <c r="I339" s="7" t="s">
        <v>24</v>
      </c>
      <c r="J339" s="5"/>
      <c r="K339" s="8" t="str">
        <f>IF(AND(H339&gt;0,J339&gt;0),(J339-H339)/H339,"")</f>
        <v/>
      </c>
      <c r="L339" s="5"/>
      <c r="M339" s="8" t="str">
        <f>IF(AND(J339&gt;0,L339&gt;0),(L339-J339)/J339,IF(AND(H339&gt;0,L339&gt;0),(L339-H339)/H339,""))</f>
        <v/>
      </c>
      <c r="N339" s="6">
        <v>45719</v>
      </c>
      <c r="O339" s="5">
        <v>44</v>
      </c>
      <c r="P339" s="8" t="str">
        <f>IF(AND(L339&gt;0,O339&gt;0),(O339-L339)/L339,"")</f>
        <v/>
      </c>
      <c r="Q339" s="9"/>
      <c r="R339" s="9">
        <v>1</v>
      </c>
      <c r="S339" s="10">
        <f>IF(N339&gt;0,TODAY()-N339,"")</f>
        <v>392</v>
      </c>
    </row>
    <row r="340" ht="17" customHeight="1" spans="1:19" x14ac:dyDescent="0.25">
      <c r="A340" s="11" t="s">
        <v>20</v>
      </c>
      <c r="B340" s="11" t="s">
        <v>430</v>
      </c>
      <c r="C340" s="11" t="s">
        <v>701</v>
      </c>
      <c r="D340" s="11" t="s">
        <v>702</v>
      </c>
      <c r="E340" s="12">
        <v>78</v>
      </c>
      <c r="F340" s="13">
        <v>14.423076923076923</v>
      </c>
      <c r="G340" s="14">
        <v>45918</v>
      </c>
      <c r="H340" s="13">
        <v>15.63</v>
      </c>
      <c r="I340" s="15" t="s">
        <v>54</v>
      </c>
      <c r="J340" s="13">
        <v>12.5</v>
      </c>
      <c r="K340" s="25">
        <f>IF(AND(H340&gt;0,J340&gt;0),(J340-H340)/H340,"")</f>
        <v>-0.20025591810620605</v>
      </c>
      <c r="L340" s="13"/>
      <c r="M340" s="16" t="str">
        <f>IF(AND(J340&gt;0,L340&gt;0),(L340-J340)/J340,IF(AND(H340&gt;0,L340&gt;0),(L340-H340)/H340,""))</f>
        <v/>
      </c>
      <c r="N340" s="14">
        <v>46010</v>
      </c>
      <c r="O340" s="13">
        <v>12.5</v>
      </c>
      <c r="P340" s="16" t="str">
        <f>IF(AND(L340&gt;0,O340&gt;0),(O340-L340)/L340,"")</f>
        <v/>
      </c>
      <c r="Q340" s="18">
        <v>46</v>
      </c>
      <c r="R340" s="18">
        <v>3</v>
      </c>
      <c r="S340" s="21">
        <f>IF(N340&gt;0,TODAY()-N340,"")</f>
        <v>101</v>
      </c>
    </row>
    <row r="341" ht="17" customHeight="1" spans="1:19" x14ac:dyDescent="0.25">
      <c r="A341" s="3" t="s">
        <v>20</v>
      </c>
      <c r="B341" s="3" t="s">
        <v>430</v>
      </c>
      <c r="C341" s="3" t="s">
        <v>703</v>
      </c>
      <c r="D341" s="3" t="s">
        <v>704</v>
      </c>
      <c r="E341" s="4">
        <v>9</v>
      </c>
      <c r="F341" s="5">
        <v>7.912222222222222</v>
      </c>
      <c r="G341" s="6">
        <v>45819</v>
      </c>
      <c r="H341" s="5">
        <v>6.72</v>
      </c>
      <c r="I341" s="7" t="s">
        <v>24</v>
      </c>
      <c r="J341" s="5"/>
      <c r="K341" s="8" t="str">
        <f>IF(AND(H341&gt;0,J341&gt;0),(J341-H341)/H341,"")</f>
        <v/>
      </c>
      <c r="L341" s="5">
        <v>8.76</v>
      </c>
      <c r="M341" s="23">
        <f>IF(AND(J341&gt;0,L341&gt;0),(L341-J341)/J341,IF(AND(H341&gt;0,L341&gt;0),(L341-H341)/H341,""))</f>
        <v>0.3035714285714286</v>
      </c>
      <c r="N341" s="6">
        <v>46048</v>
      </c>
      <c r="O341" s="5">
        <v>8.76</v>
      </c>
      <c r="P341" s="8" t="str">
        <f>IF(AND(L341&gt;0,O341&gt;0),(O341-L341)/L341,"")</f>
        <v/>
      </c>
      <c r="Q341" s="9">
        <v>115</v>
      </c>
      <c r="R341" s="9">
        <v>3</v>
      </c>
      <c r="S341" s="19">
        <f>IF(N341&gt;0,TODAY()-N341,"")</f>
        <v>63</v>
      </c>
    </row>
    <row r="342" ht="17" customHeight="1" spans="1:19" x14ac:dyDescent="0.25">
      <c r="A342" s="11" t="s">
        <v>20</v>
      </c>
      <c r="B342" s="11" t="s">
        <v>430</v>
      </c>
      <c r="C342" s="11" t="s">
        <v>705</v>
      </c>
      <c r="D342" s="11" t="s">
        <v>706</v>
      </c>
      <c r="E342" s="12">
        <v>1000</v>
      </c>
      <c r="F342" s="13">
        <v>2.36</v>
      </c>
      <c r="G342" s="14">
        <v>46020</v>
      </c>
      <c r="H342" s="13">
        <v>2.36</v>
      </c>
      <c r="I342" s="15" t="s">
        <v>54</v>
      </c>
      <c r="J342" s="13">
        <v>2.36</v>
      </c>
      <c r="K342" s="17">
        <f>IF(AND(H342&gt;0,J342&gt;0),(J342-H342)/H342,"")</f>
        <v>0</v>
      </c>
      <c r="L342" s="13"/>
      <c r="M342" s="16" t="str">
        <f>IF(AND(J342&gt;0,L342&gt;0),(L342-J342)/J342,IF(AND(H342&gt;0,L342&gt;0),(L342-H342)/H342,""))</f>
        <v/>
      </c>
      <c r="N342" s="14">
        <v>46020</v>
      </c>
      <c r="O342" s="13">
        <v>2.36</v>
      </c>
      <c r="P342" s="16" t="str">
        <f>IF(AND(L342&gt;0,O342&gt;0),(O342-L342)/L342,"")</f>
        <v/>
      </c>
      <c r="Q342" s="18"/>
      <c r="R342" s="18">
        <v>1</v>
      </c>
      <c r="S342" s="21">
        <f>IF(N342&gt;0,TODAY()-N342,"")</f>
        <v>91</v>
      </c>
    </row>
    <row r="343" ht="17" customHeight="1" spans="1:19" x14ac:dyDescent="0.25">
      <c r="A343" s="3" t="s">
        <v>20</v>
      </c>
      <c r="B343" s="3" t="s">
        <v>430</v>
      </c>
      <c r="C343" s="3" t="s">
        <v>707</v>
      </c>
      <c r="D343" s="3" t="s">
        <v>708</v>
      </c>
      <c r="E343" s="4">
        <v>500</v>
      </c>
      <c r="F343" s="5">
        <v>1.78</v>
      </c>
      <c r="G343" s="6">
        <v>46015</v>
      </c>
      <c r="H343" s="5">
        <v>1.78</v>
      </c>
      <c r="I343" s="7" t="s">
        <v>54</v>
      </c>
      <c r="J343" s="5">
        <v>1.78</v>
      </c>
      <c r="K343" s="24">
        <f>IF(AND(H343&gt;0,J343&gt;0),(J343-H343)/H343,"")</f>
        <v>0</v>
      </c>
      <c r="L343" s="5"/>
      <c r="M343" s="8" t="str">
        <f>IF(AND(J343&gt;0,L343&gt;0),(L343-J343)/J343,IF(AND(H343&gt;0,L343&gt;0),(L343-H343)/H343,""))</f>
        <v/>
      </c>
      <c r="N343" s="6">
        <v>46015</v>
      </c>
      <c r="O343" s="5">
        <v>1.78</v>
      </c>
      <c r="P343" s="8" t="str">
        <f>IF(AND(L343&gt;0,O343&gt;0),(O343-L343)/L343,"")</f>
        <v/>
      </c>
      <c r="Q343" s="9"/>
      <c r="R343" s="9">
        <v>1</v>
      </c>
      <c r="S343" s="21">
        <f>IF(N343&gt;0,TODAY()-N343,"")</f>
        <v>96</v>
      </c>
    </row>
    <row r="344" ht="17" customHeight="1" spans="1:19" x14ac:dyDescent="0.25">
      <c r="A344" s="11" t="s">
        <v>20</v>
      </c>
      <c r="B344" s="11" t="s">
        <v>430</v>
      </c>
      <c r="C344" s="11" t="s">
        <v>709</v>
      </c>
      <c r="D344" s="11" t="s">
        <v>710</v>
      </c>
      <c r="E344" s="12">
        <v>1250</v>
      </c>
      <c r="F344" s="13">
        <v>8.5</v>
      </c>
      <c r="G344" s="14">
        <v>45887</v>
      </c>
      <c r="H344" s="13">
        <v>8.7</v>
      </c>
      <c r="I344" s="15" t="s">
        <v>24</v>
      </c>
      <c r="J344" s="13"/>
      <c r="K344" s="16" t="str">
        <f>IF(AND(H344&gt;0,J344&gt;0),(J344-H344)/H344,"")</f>
        <v/>
      </c>
      <c r="L344" s="13"/>
      <c r="M344" s="16" t="str">
        <f>IF(AND(J344&gt;0,L344&gt;0),(L344-J344)/J344,IF(AND(H344&gt;0,L344&gt;0),(L344-H344)/H344,""))</f>
        <v/>
      </c>
      <c r="N344" s="14">
        <v>45919</v>
      </c>
      <c r="O344" s="13">
        <v>8.45</v>
      </c>
      <c r="P344" s="16" t="str">
        <f>IF(AND(L344&gt;0,O344&gt;0),(O344-L344)/L344,"")</f>
        <v/>
      </c>
      <c r="Q344" s="18">
        <v>32</v>
      </c>
      <c r="R344" s="18">
        <v>2</v>
      </c>
      <c r="S344" s="10">
        <f>IF(N344&gt;0,TODAY()-N344,"")</f>
        <v>192</v>
      </c>
    </row>
    <row r="345" ht="17" customHeight="1" spans="1:19" x14ac:dyDescent="0.25">
      <c r="A345" s="3" t="s">
        <v>20</v>
      </c>
      <c r="B345" s="3" t="s">
        <v>430</v>
      </c>
      <c r="C345" s="3" t="s">
        <v>711</v>
      </c>
      <c r="D345" s="3" t="s">
        <v>712</v>
      </c>
      <c r="E345" s="4">
        <v>500</v>
      </c>
      <c r="F345" s="5">
        <v>4.14166</v>
      </c>
      <c r="G345" s="6">
        <v>45908</v>
      </c>
      <c r="H345" s="5">
        <v>4.14</v>
      </c>
      <c r="I345" s="7" t="s">
        <v>24</v>
      </c>
      <c r="J345" s="5"/>
      <c r="K345" s="8" t="str">
        <f>IF(AND(H345&gt;0,J345&gt;0),(J345-H345)/H345,"")</f>
        <v/>
      </c>
      <c r="L345" s="5"/>
      <c r="M345" s="8" t="str">
        <f>IF(AND(J345&gt;0,L345&gt;0),(L345-J345)/J345,IF(AND(H345&gt;0,L345&gt;0),(L345-H345)/H345,""))</f>
        <v/>
      </c>
      <c r="N345" s="6">
        <v>45908</v>
      </c>
      <c r="O345" s="5">
        <v>4.14</v>
      </c>
      <c r="P345" s="8" t="str">
        <f>IF(AND(L345&gt;0,O345&gt;0),(O345-L345)/L345,"")</f>
        <v/>
      </c>
      <c r="Q345" s="9"/>
      <c r="R345" s="9">
        <v>1</v>
      </c>
      <c r="S345" s="10">
        <f>IF(N345&gt;0,TODAY()-N345,"")</f>
        <v>203</v>
      </c>
    </row>
    <row r="346" ht="17" customHeight="1" spans="1:19" x14ac:dyDescent="0.25">
      <c r="A346" s="11" t="s">
        <v>20</v>
      </c>
      <c r="B346" s="11" t="s">
        <v>430</v>
      </c>
      <c r="C346" s="11" t="s">
        <v>713</v>
      </c>
      <c r="D346" s="11" t="s">
        <v>714</v>
      </c>
      <c r="E346" s="12">
        <v>2000</v>
      </c>
      <c r="F346" s="13">
        <v>1.4461700000000002</v>
      </c>
      <c r="G346" s="14">
        <v>46017</v>
      </c>
      <c r="H346" s="13">
        <v>1.5</v>
      </c>
      <c r="I346" s="15" t="s">
        <v>54</v>
      </c>
      <c r="J346" s="13">
        <v>1.29</v>
      </c>
      <c r="K346" s="25">
        <f>IF(AND(H346&gt;0,J346&gt;0),(J346-H346)/H346,"")</f>
        <v>-0.13999999999999999</v>
      </c>
      <c r="L346" s="13"/>
      <c r="M346" s="16" t="str">
        <f>IF(AND(J346&gt;0,L346&gt;0),(L346-J346)/J346,IF(AND(H346&gt;0,L346&gt;0),(L346-H346)/H346,""))</f>
        <v/>
      </c>
      <c r="N346" s="14">
        <v>46022</v>
      </c>
      <c r="O346" s="13">
        <v>1.29</v>
      </c>
      <c r="P346" s="16" t="str">
        <f>IF(AND(L346&gt;0,O346&gt;0),(O346-L346)/L346,"")</f>
        <v/>
      </c>
      <c r="Q346" s="18">
        <v>3</v>
      </c>
      <c r="R346" s="18">
        <v>3</v>
      </c>
      <c r="S346" s="19">
        <f>IF(N346&gt;0,TODAY()-N346,"")</f>
        <v>89</v>
      </c>
    </row>
    <row r="347" ht="17" customHeight="1" spans="1:19" x14ac:dyDescent="0.25">
      <c r="A347" s="3" t="s">
        <v>20</v>
      </c>
      <c r="B347" s="3" t="s">
        <v>430</v>
      </c>
      <c r="C347" s="3" t="s">
        <v>715</v>
      </c>
      <c r="D347" s="3" t="s">
        <v>716</v>
      </c>
      <c r="E347" s="4">
        <v>377</v>
      </c>
      <c r="F347" s="5">
        <v>44.829098143236074</v>
      </c>
      <c r="G347" s="6">
        <v>45666</v>
      </c>
      <c r="H347" s="5">
        <v>45</v>
      </c>
      <c r="I347" s="7" t="s">
        <v>54</v>
      </c>
      <c r="J347" s="5">
        <v>45</v>
      </c>
      <c r="K347" s="24">
        <f>IF(AND(H347&gt;0,J347&gt;0),(J347-H347)/H347,"")</f>
        <v>0</v>
      </c>
      <c r="L347" s="5">
        <v>43.75</v>
      </c>
      <c r="M347" s="26">
        <f>IF(AND(J347&gt;0,L347&gt;0),(L347-J347)/J347,IF(AND(H347&gt;0,L347&gt;0),(L347-H347)/H347,""))</f>
        <v>-0.027777777777777776</v>
      </c>
      <c r="N347" s="6">
        <v>46085</v>
      </c>
      <c r="O347" s="5">
        <v>43.75</v>
      </c>
      <c r="P347" s="24">
        <f>IF(AND(L347&gt;0,O347&gt;0),(O347-L347)/L347,"")</f>
        <v>0</v>
      </c>
      <c r="Q347" s="9">
        <v>35</v>
      </c>
      <c r="R347" s="9">
        <v>13</v>
      </c>
      <c r="S347" s="9">
        <f>IF(N347&gt;0,TODAY()-N347,"")</f>
        <v>26</v>
      </c>
    </row>
    <row r="348" ht="17" customHeight="1" spans="1:19" x14ac:dyDescent="0.25">
      <c r="A348" s="11" t="s">
        <v>20</v>
      </c>
      <c r="B348" s="11" t="s">
        <v>430</v>
      </c>
      <c r="C348" s="11" t="s">
        <v>717</v>
      </c>
      <c r="D348" s="11" t="s">
        <v>718</v>
      </c>
      <c r="E348" s="12">
        <v>10</v>
      </c>
      <c r="F348" s="13">
        <v>1620</v>
      </c>
      <c r="G348" s="14">
        <v>45685</v>
      </c>
      <c r="H348" s="13">
        <v>1620</v>
      </c>
      <c r="I348" s="15" t="s">
        <v>24</v>
      </c>
      <c r="J348" s="13"/>
      <c r="K348" s="16" t="str">
        <f>IF(AND(H348&gt;0,J348&gt;0),(J348-H348)/H348,"")</f>
        <v/>
      </c>
      <c r="L348" s="13"/>
      <c r="M348" s="16" t="str">
        <f>IF(AND(J348&gt;0,L348&gt;0),(L348-J348)/J348,IF(AND(H348&gt;0,L348&gt;0),(L348-H348)/H348,""))</f>
        <v/>
      </c>
      <c r="N348" s="14">
        <v>45685</v>
      </c>
      <c r="O348" s="13">
        <v>1620</v>
      </c>
      <c r="P348" s="16" t="str">
        <f>IF(AND(L348&gt;0,O348&gt;0),(O348-L348)/L348,"")</f>
        <v/>
      </c>
      <c r="Q348" s="18"/>
      <c r="R348" s="18">
        <v>1</v>
      </c>
      <c r="S348" s="10">
        <f>IF(N348&gt;0,TODAY()-N348,"")</f>
        <v>426</v>
      </c>
    </row>
    <row r="349" ht="17" customHeight="1" spans="1:19" x14ac:dyDescent="0.25">
      <c r="A349" s="3" t="s">
        <v>20</v>
      </c>
      <c r="B349" s="3" t="s">
        <v>430</v>
      </c>
      <c r="C349" s="3" t="s">
        <v>719</v>
      </c>
      <c r="D349" s="3" t="s">
        <v>720</v>
      </c>
      <c r="E349" s="4">
        <v>2000</v>
      </c>
      <c r="F349" s="5">
        <v>0.4</v>
      </c>
      <c r="G349" s="6">
        <v>45943</v>
      </c>
      <c r="H349" s="5">
        <v>0.4</v>
      </c>
      <c r="I349" s="7" t="s">
        <v>57</v>
      </c>
      <c r="J349" s="5">
        <v>0.4</v>
      </c>
      <c r="K349" s="24">
        <f>IF(AND(H349&gt;0,J349&gt;0),(J349-H349)/H349,"")</f>
        <v>0</v>
      </c>
      <c r="L349" s="5">
        <v>0.4</v>
      </c>
      <c r="M349" s="24">
        <f>IF(AND(J349&gt;0,L349&gt;0),(L349-J349)/J349,IF(AND(H349&gt;0,L349&gt;0),(L349-H349)/H349,""))</f>
        <v>0</v>
      </c>
      <c r="N349" s="6">
        <v>46027</v>
      </c>
      <c r="O349" s="5">
        <v>0.4</v>
      </c>
      <c r="P349" s="8" t="str">
        <f>IF(AND(L349&gt;0,O349&gt;0),(O349-L349)/L349,"")</f>
        <v/>
      </c>
      <c r="Q349" s="9">
        <v>84</v>
      </c>
      <c r="R349" s="9">
        <v>2</v>
      </c>
      <c r="S349" s="19">
        <f>IF(N349&gt;0,TODAY()-N349,"")</f>
        <v>84</v>
      </c>
    </row>
    <row r="350" ht="17" customHeight="1" spans="1:19" x14ac:dyDescent="0.25">
      <c r="A350" s="11" t="s">
        <v>20</v>
      </c>
      <c r="B350" s="11" t="s">
        <v>430</v>
      </c>
      <c r="C350" s="11" t="s">
        <v>721</v>
      </c>
      <c r="D350" s="11" t="s">
        <v>722</v>
      </c>
      <c r="E350" s="12">
        <v>300</v>
      </c>
      <c r="F350" s="13">
        <v>0.4</v>
      </c>
      <c r="G350" s="14">
        <v>45911</v>
      </c>
      <c r="H350" s="13">
        <v>0.4</v>
      </c>
      <c r="I350" s="15" t="s">
        <v>24</v>
      </c>
      <c r="J350" s="13"/>
      <c r="K350" s="16" t="str">
        <f>IF(AND(H350&gt;0,J350&gt;0),(J350-H350)/H350,"")</f>
        <v/>
      </c>
      <c r="L350" s="13"/>
      <c r="M350" s="16" t="str">
        <f>IF(AND(J350&gt;0,L350&gt;0),(L350-J350)/J350,IF(AND(H350&gt;0,L350&gt;0),(L350-H350)/H350,""))</f>
        <v/>
      </c>
      <c r="N350" s="14">
        <v>45911</v>
      </c>
      <c r="O350" s="13">
        <v>0.4</v>
      </c>
      <c r="P350" s="16" t="str">
        <f>IF(AND(L350&gt;0,O350&gt;0),(O350-L350)/L350,"")</f>
        <v/>
      </c>
      <c r="Q350" s="18"/>
      <c r="R350" s="18">
        <v>1</v>
      </c>
      <c r="S350" s="10">
        <f>IF(N350&gt;0,TODAY()-N350,"")</f>
        <v>200</v>
      </c>
    </row>
    <row r="351" ht="17" customHeight="1" spans="1:19" x14ac:dyDescent="0.25">
      <c r="A351" s="3" t="s">
        <v>20</v>
      </c>
      <c r="B351" s="3" t="s">
        <v>430</v>
      </c>
      <c r="C351" s="3" t="s">
        <v>723</v>
      </c>
      <c r="D351" s="3" t="s">
        <v>724</v>
      </c>
      <c r="E351" s="4">
        <v>260</v>
      </c>
      <c r="F351" s="5">
        <v>238.82457692307693</v>
      </c>
      <c r="G351" s="6">
        <v>45749</v>
      </c>
      <c r="H351" s="5">
        <v>315</v>
      </c>
      <c r="I351" s="7" t="s">
        <v>54</v>
      </c>
      <c r="J351" s="5">
        <v>190.61</v>
      </c>
      <c r="K351" s="26">
        <f>IF(AND(H351&gt;0,J351&gt;0),(J351-H351)/H351,"")</f>
        <v>-0.39488888888888884</v>
      </c>
      <c r="L351" s="5"/>
      <c r="M351" s="8" t="str">
        <f>IF(AND(J351&gt;0,L351&gt;0),(L351-J351)/J351,IF(AND(H351&gt;0,L351&gt;0),(L351-H351)/H351,""))</f>
        <v/>
      </c>
      <c r="N351" s="6">
        <v>46091</v>
      </c>
      <c r="O351" s="5">
        <v>198</v>
      </c>
      <c r="P351" s="24">
        <f>IF(AND(L351&gt;0,O351&gt;0),(O351-L351)/L351,"")</f>
        <v>0.03877026388961747</v>
      </c>
      <c r="Q351" s="9">
        <v>114</v>
      </c>
      <c r="R351" s="9">
        <v>4</v>
      </c>
      <c r="S351" s="9">
        <f>IF(N351&gt;0,TODAY()-N351,"")</f>
        <v>20</v>
      </c>
    </row>
    <row r="352" ht="17" customHeight="1" spans="1:19" x14ac:dyDescent="0.25">
      <c r="A352" s="11" t="s">
        <v>20</v>
      </c>
      <c r="B352" s="11" t="s">
        <v>430</v>
      </c>
      <c r="C352" s="11" t="s">
        <v>725</v>
      </c>
      <c r="D352" s="11" t="s">
        <v>726</v>
      </c>
      <c r="E352" s="12">
        <v>141</v>
      </c>
      <c r="F352" s="13">
        <v>244.08978723404252</v>
      </c>
      <c r="G352" s="14">
        <v>45749</v>
      </c>
      <c r="H352" s="13">
        <v>250</v>
      </c>
      <c r="I352" s="15" t="s">
        <v>24</v>
      </c>
      <c r="J352" s="13"/>
      <c r="K352" s="16" t="str">
        <f>IF(AND(H352&gt;0,J352&gt;0),(J352-H352)/H352,"")</f>
        <v/>
      </c>
      <c r="L352" s="13"/>
      <c r="M352" s="16" t="str">
        <f>IF(AND(J352&gt;0,L352&gt;0),(L352-J352)/J352,IF(AND(H352&gt;0,L352&gt;0),(L352-H352)/H352,""))</f>
        <v/>
      </c>
      <c r="N352" s="14">
        <v>46097</v>
      </c>
      <c r="O352" s="13">
        <v>216.67</v>
      </c>
      <c r="P352" s="25">
        <f>IF(AND(L352&gt;0,O352&gt;0),(O352-L352)/L352,"")</f>
        <v>-0.13332000000000005</v>
      </c>
      <c r="Q352" s="18">
        <v>58</v>
      </c>
      <c r="R352" s="18">
        <v>7</v>
      </c>
      <c r="S352" s="18">
        <f>IF(N352&gt;0,TODAY()-N352,"")</f>
        <v>14</v>
      </c>
    </row>
    <row r="353" ht="17" customHeight="1" spans="1:19" x14ac:dyDescent="0.25">
      <c r="A353" s="3" t="s">
        <v>20</v>
      </c>
      <c r="B353" s="3" t="s">
        <v>430</v>
      </c>
      <c r="C353" s="3" t="s">
        <v>727</v>
      </c>
      <c r="D353" s="3" t="s">
        <v>728</v>
      </c>
      <c r="E353" s="4">
        <v>3</v>
      </c>
      <c r="F353" s="5">
        <v>220</v>
      </c>
      <c r="G353" s="6">
        <v>45671</v>
      </c>
      <c r="H353" s="5">
        <v>220</v>
      </c>
      <c r="I353" s="7" t="s">
        <v>24</v>
      </c>
      <c r="J353" s="5"/>
      <c r="K353" s="8" t="str">
        <f>IF(AND(H353&gt;0,J353&gt;0),(J353-H353)/H353,"")</f>
        <v/>
      </c>
      <c r="L353" s="5"/>
      <c r="M353" s="8" t="str">
        <f>IF(AND(J353&gt;0,L353&gt;0),(L353-J353)/J353,IF(AND(H353&gt;0,L353&gt;0),(L353-H353)/H353,""))</f>
        <v/>
      </c>
      <c r="N353" s="6">
        <v>45671</v>
      </c>
      <c r="O353" s="5">
        <v>220</v>
      </c>
      <c r="P353" s="8" t="str">
        <f>IF(AND(L353&gt;0,O353&gt;0),(O353-L353)/L353,"")</f>
        <v/>
      </c>
      <c r="Q353" s="9"/>
      <c r="R353" s="9">
        <v>1</v>
      </c>
      <c r="S353" s="10">
        <f>IF(N353&gt;0,TODAY()-N353,"")</f>
        <v>440</v>
      </c>
    </row>
    <row r="354" ht="17" customHeight="1" spans="1:19" x14ac:dyDescent="0.25">
      <c r="A354" s="11" t="s">
        <v>20</v>
      </c>
      <c r="B354" s="11" t="s">
        <v>430</v>
      </c>
      <c r="C354" s="11" t="s">
        <v>729</v>
      </c>
      <c r="D354" s="11" t="s">
        <v>730</v>
      </c>
      <c r="E354" s="12">
        <v>19</v>
      </c>
      <c r="F354" s="13">
        <v>220.17526315789473</v>
      </c>
      <c r="G354" s="14">
        <v>45784</v>
      </c>
      <c r="H354" s="13">
        <v>170.83</v>
      </c>
      <c r="I354" s="15" t="s">
        <v>24</v>
      </c>
      <c r="J354" s="13"/>
      <c r="K354" s="16" t="str">
        <f>IF(AND(H354&gt;0,J354&gt;0),(J354-H354)/H354,"")</f>
        <v/>
      </c>
      <c r="L354" s="13"/>
      <c r="M354" s="16" t="str">
        <f>IF(AND(J354&gt;0,L354&gt;0),(L354-J354)/J354,IF(AND(H354&gt;0,L354&gt;0),(L354-H354)/H354,""))</f>
        <v/>
      </c>
      <c r="N354" s="14">
        <v>46062</v>
      </c>
      <c r="O354" s="13">
        <v>250</v>
      </c>
      <c r="P354" s="23">
        <f>IF(AND(L354&gt;0,O354&gt;0),(O354-L354)/L354,"")</f>
        <v>0.46344318913539767</v>
      </c>
      <c r="Q354" s="18">
        <v>139</v>
      </c>
      <c r="R354" s="18">
        <v>3</v>
      </c>
      <c r="S354" s="18">
        <f>IF(N354&gt;0,TODAY()-N354,"")</f>
        <v>49</v>
      </c>
    </row>
    <row r="355" ht="17" customHeight="1" spans="1:19" x14ac:dyDescent="0.25">
      <c r="A355" s="3" t="s">
        <v>20</v>
      </c>
      <c r="B355" s="3" t="s">
        <v>430</v>
      </c>
      <c r="C355" s="3" t="s">
        <v>731</v>
      </c>
      <c r="D355" s="3" t="s">
        <v>732</v>
      </c>
      <c r="E355" s="4">
        <v>3</v>
      </c>
      <c r="F355" s="5">
        <v>1330.75</v>
      </c>
      <c r="G355" s="6">
        <v>45681</v>
      </c>
      <c r="H355" s="5">
        <v>1330.75</v>
      </c>
      <c r="I355" s="7" t="s">
        <v>24</v>
      </c>
      <c r="J355" s="5"/>
      <c r="K355" s="8" t="str">
        <f>IF(AND(H355&gt;0,J355&gt;0),(J355-H355)/H355,"")</f>
        <v/>
      </c>
      <c r="L355" s="5"/>
      <c r="M355" s="8" t="str">
        <f>IF(AND(J355&gt;0,L355&gt;0),(L355-J355)/J355,IF(AND(H355&gt;0,L355&gt;0),(L355-H355)/H355,""))</f>
        <v/>
      </c>
      <c r="N355" s="6">
        <v>45681</v>
      </c>
      <c r="O355" s="5">
        <v>1330.75</v>
      </c>
      <c r="P355" s="8" t="str">
        <f>IF(AND(L355&gt;0,O355&gt;0),(O355-L355)/L355,"")</f>
        <v/>
      </c>
      <c r="Q355" s="9"/>
      <c r="R355" s="9">
        <v>1</v>
      </c>
      <c r="S355" s="10">
        <f>IF(N355&gt;0,TODAY()-N355,"")</f>
        <v>430</v>
      </c>
    </row>
    <row r="356" ht="17" customHeight="1" spans="1:19" x14ac:dyDescent="0.25">
      <c r="A356" s="11" t="s">
        <v>20</v>
      </c>
      <c r="B356" s="11" t="s">
        <v>430</v>
      </c>
      <c r="C356" s="11" t="s">
        <v>733</v>
      </c>
      <c r="D356" s="11" t="s">
        <v>734</v>
      </c>
      <c r="E356" s="12">
        <v>16</v>
      </c>
      <c r="F356" s="13">
        <v>1783.5125</v>
      </c>
      <c r="G356" s="14">
        <v>45775</v>
      </c>
      <c r="H356" s="13">
        <v>1732.09</v>
      </c>
      <c r="I356" s="15" t="s">
        <v>24</v>
      </c>
      <c r="J356" s="13"/>
      <c r="K356" s="16" t="str">
        <f>IF(AND(H356&gt;0,J356&gt;0),(J356-H356)/H356,"")</f>
        <v/>
      </c>
      <c r="L356" s="13"/>
      <c r="M356" s="16" t="str">
        <f>IF(AND(J356&gt;0,L356&gt;0),(L356-J356)/J356,IF(AND(H356&gt;0,L356&gt;0),(L356-H356)/H356,""))</f>
        <v/>
      </c>
      <c r="N356" s="14">
        <v>46104</v>
      </c>
      <c r="O356" s="13">
        <v>2010.25</v>
      </c>
      <c r="P356" s="20">
        <f>IF(AND(L356&gt;0,O356&gt;0),(O356-L356)/L356,"")</f>
        <v>0.16059211703779833</v>
      </c>
      <c r="Q356" s="18">
        <v>82</v>
      </c>
      <c r="R356" s="18">
        <v>5</v>
      </c>
      <c r="S356" s="18">
        <f>IF(N356&gt;0,TODAY()-N356,"")</f>
        <v>7</v>
      </c>
    </row>
    <row r="357" ht="17" customHeight="1" spans="1:19" x14ac:dyDescent="0.25">
      <c r="A357" s="3" t="s">
        <v>20</v>
      </c>
      <c r="B357" s="3" t="s">
        <v>430</v>
      </c>
      <c r="C357" s="3" t="s">
        <v>735</v>
      </c>
      <c r="D357" s="3" t="s">
        <v>736</v>
      </c>
      <c r="E357" s="4">
        <v>9</v>
      </c>
      <c r="F357" s="5">
        <v>188.89111111111112</v>
      </c>
      <c r="G357" s="6">
        <v>45784</v>
      </c>
      <c r="H357" s="5">
        <v>179.17</v>
      </c>
      <c r="I357" s="7" t="s">
        <v>24</v>
      </c>
      <c r="J357" s="5"/>
      <c r="K357" s="8" t="str">
        <f>IF(AND(H357&gt;0,J357&gt;0),(J357-H357)/H357,"")</f>
        <v/>
      </c>
      <c r="L357" s="5">
        <v>196.67</v>
      </c>
      <c r="M357" s="24">
        <f>IF(AND(J357&gt;0,L357&gt;0),(L357-J357)/J357,IF(AND(H357&gt;0,L357&gt;0),(L357-H357)/H357,""))</f>
        <v>0.09767260143997322</v>
      </c>
      <c r="N357" s="6">
        <v>46027</v>
      </c>
      <c r="O357" s="5">
        <v>196.67</v>
      </c>
      <c r="P357" s="8" t="str">
        <f>IF(AND(L357&gt;0,O357&gt;0),(O357-L357)/L357,"")</f>
        <v/>
      </c>
      <c r="Q357" s="9">
        <v>243</v>
      </c>
      <c r="R357" s="9">
        <v>2</v>
      </c>
      <c r="S357" s="19">
        <f>IF(N357&gt;0,TODAY()-N357,"")</f>
        <v>84</v>
      </c>
    </row>
    <row r="358" ht="17" customHeight="1" spans="1:19" x14ac:dyDescent="0.25">
      <c r="A358" s="11" t="s">
        <v>20</v>
      </c>
      <c r="B358" s="11" t="s">
        <v>430</v>
      </c>
      <c r="C358" s="11" t="s">
        <v>737</v>
      </c>
      <c r="D358" s="11" t="s">
        <v>738</v>
      </c>
      <c r="E358" s="12">
        <v>2</v>
      </c>
      <c r="F358" s="13">
        <v>250</v>
      </c>
      <c r="G358" s="14">
        <v>45873</v>
      </c>
      <c r="H358" s="13">
        <v>250</v>
      </c>
      <c r="I358" s="15" t="s">
        <v>24</v>
      </c>
      <c r="J358" s="13"/>
      <c r="K358" s="16" t="str">
        <f>IF(AND(H358&gt;0,J358&gt;0),(J358-H358)/H358,"")</f>
        <v/>
      </c>
      <c r="L358" s="13"/>
      <c r="M358" s="16" t="str">
        <f>IF(AND(J358&gt;0,L358&gt;0),(L358-J358)/J358,IF(AND(H358&gt;0,L358&gt;0),(L358-H358)/H358,""))</f>
        <v/>
      </c>
      <c r="N358" s="14">
        <v>45873</v>
      </c>
      <c r="O358" s="13">
        <v>250</v>
      </c>
      <c r="P358" s="16" t="str">
        <f>IF(AND(L358&gt;0,O358&gt;0),(O358-L358)/L358,"")</f>
        <v/>
      </c>
      <c r="Q358" s="18"/>
      <c r="R358" s="18">
        <v>1</v>
      </c>
      <c r="S358" s="10">
        <f>IF(N358&gt;0,TODAY()-N358,"")</f>
        <v>238</v>
      </c>
    </row>
    <row r="359" ht="17" customHeight="1" spans="1:19" x14ac:dyDescent="0.25">
      <c r="A359" s="3" t="s">
        <v>20</v>
      </c>
      <c r="B359" s="3" t="s">
        <v>430</v>
      </c>
      <c r="C359" s="3" t="s">
        <v>739</v>
      </c>
      <c r="D359" s="3" t="s">
        <v>740</v>
      </c>
      <c r="E359" s="4">
        <v>1006</v>
      </c>
      <c r="F359" s="5">
        <v>25.11332007952286</v>
      </c>
      <c r="G359" s="6">
        <v>45684</v>
      </c>
      <c r="H359" s="5">
        <v>23</v>
      </c>
      <c r="I359" s="7" t="s">
        <v>54</v>
      </c>
      <c r="J359" s="5">
        <v>26</v>
      </c>
      <c r="K359" s="22">
        <f>IF(AND(H359&gt;0,J359&gt;0),(J359-H359)/H359,"")</f>
        <v>0.13043478260869565</v>
      </c>
      <c r="L359" s="5"/>
      <c r="M359" s="8" t="str">
        <f>IF(AND(J359&gt;0,L359&gt;0),(L359-J359)/J359,IF(AND(H359&gt;0,L359&gt;0),(L359-H359)/H359,""))</f>
        <v/>
      </c>
      <c r="N359" s="6">
        <v>46078</v>
      </c>
      <c r="O359" s="5">
        <v>29</v>
      </c>
      <c r="P359" s="22">
        <f>IF(AND(L359&gt;0,O359&gt;0),(O359-L359)/L359,"")</f>
        <v>0.11538461538461538</v>
      </c>
      <c r="Q359" s="9">
        <v>26</v>
      </c>
      <c r="R359" s="9">
        <v>16</v>
      </c>
      <c r="S359" s="9">
        <f>IF(N359&gt;0,TODAY()-N359,"")</f>
        <v>33</v>
      </c>
    </row>
    <row r="360" ht="17" customHeight="1" spans="1:19" x14ac:dyDescent="0.25">
      <c r="A360" s="11" t="s">
        <v>20</v>
      </c>
      <c r="B360" s="11" t="s">
        <v>430</v>
      </c>
      <c r="C360" s="11" t="s">
        <v>741</v>
      </c>
      <c r="D360" s="11" t="s">
        <v>742</v>
      </c>
      <c r="E360" s="12">
        <v>7000</v>
      </c>
      <c r="F360" s="13">
        <v>0.46006</v>
      </c>
      <c r="G360" s="14">
        <v>45743</v>
      </c>
      <c r="H360" s="13">
        <v>0.4</v>
      </c>
      <c r="I360" s="15" t="s">
        <v>57</v>
      </c>
      <c r="J360" s="13">
        <v>0.6</v>
      </c>
      <c r="K360" s="23">
        <f>IF(AND(H360&gt;0,J360&gt;0),(J360-H360)/H360,"")</f>
        <v>0.49999999999999983</v>
      </c>
      <c r="L360" s="13"/>
      <c r="M360" s="16" t="str">
        <f>IF(AND(J360&gt;0,L360&gt;0),(L360-J360)/J360,IF(AND(H360&gt;0,L360&gt;0),(L360-H360)/H360,""))</f>
        <v/>
      </c>
      <c r="N360" s="14">
        <v>45938</v>
      </c>
      <c r="O360" s="13">
        <v>0.6</v>
      </c>
      <c r="P360" s="16" t="str">
        <f>IF(AND(L360&gt;0,O360&gt;0),(O360-L360)/L360,"")</f>
        <v/>
      </c>
      <c r="Q360" s="18">
        <v>98</v>
      </c>
      <c r="R360" s="18">
        <v>3</v>
      </c>
      <c r="S360" s="21">
        <f>IF(N360&gt;0,TODAY()-N360,"")</f>
        <v>173</v>
      </c>
    </row>
    <row r="361" ht="17" customHeight="1" spans="1:19" x14ac:dyDescent="0.25">
      <c r="A361" s="3" t="s">
        <v>20</v>
      </c>
      <c r="B361" s="3" t="s">
        <v>430</v>
      </c>
      <c r="C361" s="3" t="s">
        <v>743</v>
      </c>
      <c r="D361" s="3" t="s">
        <v>744</v>
      </c>
      <c r="E361" s="4">
        <v>50</v>
      </c>
      <c r="F361" s="5">
        <v>65</v>
      </c>
      <c r="G361" s="6">
        <v>46090</v>
      </c>
      <c r="H361" s="5">
        <v>65</v>
      </c>
      <c r="I361" s="7" t="s">
        <v>24</v>
      </c>
      <c r="J361" s="5"/>
      <c r="K361" s="8" t="str">
        <f>IF(AND(H361&gt;0,J361&gt;0),(J361-H361)/H361,"")</f>
        <v/>
      </c>
      <c r="L361" s="5"/>
      <c r="M361" s="8" t="str">
        <f>IF(AND(J361&gt;0,L361&gt;0),(L361-J361)/J361,IF(AND(H361&gt;0,L361&gt;0),(L361-H361)/H361,""))</f>
        <v/>
      </c>
      <c r="N361" s="6">
        <v>46094</v>
      </c>
      <c r="O361" s="5">
        <v>65</v>
      </c>
      <c r="P361" s="24">
        <f>IF(AND(L361&gt;0,O361&gt;0),(O361-L361)/L361,"")</f>
        <v>0</v>
      </c>
      <c r="Q361" s="9">
        <v>4</v>
      </c>
      <c r="R361" s="9">
        <v>2</v>
      </c>
      <c r="S361" s="9">
        <f>IF(N361&gt;0,TODAY()-N361,"")</f>
        <v>17</v>
      </c>
    </row>
    <row r="362" ht="17" customHeight="1" spans="1:19" x14ac:dyDescent="0.25">
      <c r="A362" s="11" t="s">
        <v>20</v>
      </c>
      <c r="B362" s="11" t="s">
        <v>430</v>
      </c>
      <c r="C362" s="11" t="s">
        <v>745</v>
      </c>
      <c r="D362" s="11" t="s">
        <v>746</v>
      </c>
      <c r="E362" s="12">
        <v>98</v>
      </c>
      <c r="F362" s="13">
        <v>5</v>
      </c>
      <c r="G362" s="14">
        <v>45729</v>
      </c>
      <c r="H362" s="13">
        <v>5</v>
      </c>
      <c r="I362" s="15" t="s">
        <v>24</v>
      </c>
      <c r="J362" s="13"/>
      <c r="K362" s="16" t="str">
        <f>IF(AND(H362&gt;0,J362&gt;0),(J362-H362)/H362,"")</f>
        <v/>
      </c>
      <c r="L362" s="13"/>
      <c r="M362" s="16" t="str">
        <f>IF(AND(J362&gt;0,L362&gt;0),(L362-J362)/J362,IF(AND(H362&gt;0,L362&gt;0),(L362-H362)/H362,""))</f>
        <v/>
      </c>
      <c r="N362" s="14">
        <v>45911</v>
      </c>
      <c r="O362" s="13">
        <v>5</v>
      </c>
      <c r="P362" s="16" t="str">
        <f>IF(AND(L362&gt;0,O362&gt;0),(O362-L362)/L362,"")</f>
        <v/>
      </c>
      <c r="Q362" s="18">
        <v>182</v>
      </c>
      <c r="R362" s="18">
        <v>2</v>
      </c>
      <c r="S362" s="10">
        <f>IF(N362&gt;0,TODAY()-N362,"")</f>
        <v>200</v>
      </c>
    </row>
    <row r="363" ht="17" customHeight="1" spans="1:19" x14ac:dyDescent="0.25">
      <c r="A363" s="3" t="s">
        <v>20</v>
      </c>
      <c r="B363" s="3" t="s">
        <v>430</v>
      </c>
      <c r="C363" s="3" t="s">
        <v>747</v>
      </c>
      <c r="D363" s="3" t="s">
        <v>748</v>
      </c>
      <c r="E363" s="4">
        <v>160</v>
      </c>
      <c r="F363" s="5">
        <v>81.25</v>
      </c>
      <c r="G363" s="6">
        <v>45713</v>
      </c>
      <c r="H363" s="5">
        <v>70</v>
      </c>
      <c r="I363" s="7" t="s">
        <v>24</v>
      </c>
      <c r="J363" s="5"/>
      <c r="K363" s="8" t="str">
        <f>IF(AND(H363&gt;0,J363&gt;0),(J363-H363)/H363,"")</f>
        <v/>
      </c>
      <c r="L363" s="5">
        <v>95</v>
      </c>
      <c r="M363" s="23">
        <f>IF(AND(J363&gt;0,L363&gt;0),(L363-J363)/J363,IF(AND(H363&gt;0,L363&gt;0),(L363-H363)/H363,""))</f>
        <v>0.35714285714285715</v>
      </c>
      <c r="N363" s="6">
        <v>46104</v>
      </c>
      <c r="O363" s="5">
        <v>95</v>
      </c>
      <c r="P363" s="24">
        <f>IF(AND(L363&gt;0,O363&gt;0),(O363-L363)/L363,"")</f>
        <v>0</v>
      </c>
      <c r="Q363" s="9">
        <v>56</v>
      </c>
      <c r="R363" s="9">
        <v>8</v>
      </c>
      <c r="S363" s="9">
        <f>IF(N363&gt;0,TODAY()-N363,"")</f>
        <v>7</v>
      </c>
    </row>
    <row r="364" ht="17" customHeight="1" spans="1:19" x14ac:dyDescent="0.25">
      <c r="A364" s="11" t="s">
        <v>20</v>
      </c>
      <c r="B364" s="11" t="s">
        <v>430</v>
      </c>
      <c r="C364" s="11" t="s">
        <v>749</v>
      </c>
      <c r="D364" s="11" t="s">
        <v>750</v>
      </c>
      <c r="E364" s="12">
        <v>392</v>
      </c>
      <c r="F364" s="13">
        <v>106.92986734693878</v>
      </c>
      <c r="G364" s="14">
        <v>45692</v>
      </c>
      <c r="H364" s="13">
        <v>92.21</v>
      </c>
      <c r="I364" s="15" t="s">
        <v>54</v>
      </c>
      <c r="J364" s="13">
        <v>122.09</v>
      </c>
      <c r="K364" s="23">
        <f>IF(AND(H364&gt;0,J364&gt;0),(J364-H364)/H364,"")</f>
        <v>0.324042945450602</v>
      </c>
      <c r="L364" s="13"/>
      <c r="M364" s="16" t="str">
        <f>IF(AND(J364&gt;0,L364&gt;0),(L364-J364)/J364,IF(AND(H364&gt;0,L364&gt;0),(L364-H364)/H364,""))</f>
        <v/>
      </c>
      <c r="N364" s="14">
        <v>45993</v>
      </c>
      <c r="O364" s="13">
        <v>122.09</v>
      </c>
      <c r="P364" s="16" t="str">
        <f>IF(AND(L364&gt;0,O364&gt;0),(O364-L364)/L364,"")</f>
        <v/>
      </c>
      <c r="Q364" s="18">
        <v>60</v>
      </c>
      <c r="R364" s="18">
        <v>6</v>
      </c>
      <c r="S364" s="21">
        <f>IF(N364&gt;0,TODAY()-N364,"")</f>
        <v>118</v>
      </c>
    </row>
    <row r="365" ht="17" customHeight="1" spans="1:19" x14ac:dyDescent="0.25">
      <c r="A365" s="3" t="s">
        <v>20</v>
      </c>
      <c r="B365" s="3" t="s">
        <v>430</v>
      </c>
      <c r="C365" s="3" t="s">
        <v>751</v>
      </c>
      <c r="D365" s="3" t="s">
        <v>752</v>
      </c>
      <c r="E365" s="4">
        <v>1660</v>
      </c>
      <c r="F365" s="5">
        <v>193.55421686746988</v>
      </c>
      <c r="G365" s="6">
        <v>45684</v>
      </c>
      <c r="H365" s="5">
        <v>167</v>
      </c>
      <c r="I365" s="7" t="s">
        <v>60</v>
      </c>
      <c r="J365" s="5">
        <v>200</v>
      </c>
      <c r="K365" s="22">
        <f>IF(AND(H365&gt;0,J365&gt;0),(J365-H365)/H365,"")</f>
        <v>0.19760479041916168</v>
      </c>
      <c r="L365" s="5">
        <v>220</v>
      </c>
      <c r="M365" s="22">
        <f>IF(AND(J365&gt;0,L365&gt;0),(L365-J365)/J365,IF(AND(H365&gt;0,L365&gt;0),(L365-H365)/H365,""))</f>
        <v>0.1</v>
      </c>
      <c r="N365" s="6">
        <v>46104</v>
      </c>
      <c r="O365" s="5">
        <v>240</v>
      </c>
      <c r="P365" s="24">
        <f>IF(AND(L365&gt;0,O365&gt;0),(O365-L365)/L365,"")</f>
        <v>0.09090909090909091</v>
      </c>
      <c r="Q365" s="9">
        <v>21</v>
      </c>
      <c r="R365" s="9">
        <v>21</v>
      </c>
      <c r="S365" s="9">
        <f>IF(N365&gt;0,TODAY()-N365,"")</f>
        <v>7</v>
      </c>
    </row>
    <row r="366" ht="17" customHeight="1" spans="1:19" x14ac:dyDescent="0.25">
      <c r="A366" s="11" t="s">
        <v>20</v>
      </c>
      <c r="B366" s="11" t="s">
        <v>430</v>
      </c>
      <c r="C366" s="11" t="s">
        <v>753</v>
      </c>
      <c r="D366" s="11" t="s">
        <v>754</v>
      </c>
      <c r="E366" s="12">
        <v>1092</v>
      </c>
      <c r="F366" s="13">
        <v>111.69832783882784</v>
      </c>
      <c r="G366" s="14">
        <v>45671</v>
      </c>
      <c r="H366" s="13">
        <v>91.01</v>
      </c>
      <c r="I366" s="15" t="s">
        <v>54</v>
      </c>
      <c r="J366" s="13">
        <v>122.09</v>
      </c>
      <c r="K366" s="23">
        <f>IF(AND(H366&gt;0,J366&gt;0),(J366-H366)/H366,"")</f>
        <v>0.3415009339633007</v>
      </c>
      <c r="L366" s="13"/>
      <c r="M366" s="16" t="str">
        <f>IF(AND(J366&gt;0,L366&gt;0),(L366-J366)/J366,IF(AND(H366&gt;0,L366&gt;0),(L366-H366)/H366,""))</f>
        <v/>
      </c>
      <c r="N366" s="14">
        <v>46064</v>
      </c>
      <c r="O366" s="13">
        <v>129.87</v>
      </c>
      <c r="P366" s="17">
        <f>IF(AND(L366&gt;0,O366&gt;0),(O366-L366)/L366,"")</f>
        <v>0.0637234826767139</v>
      </c>
      <c r="Q366" s="18">
        <v>44</v>
      </c>
      <c r="R366" s="18">
        <v>10</v>
      </c>
      <c r="S366" s="18">
        <f>IF(N366&gt;0,TODAY()-N366,"")</f>
        <v>47</v>
      </c>
    </row>
    <row r="367" ht="17" customHeight="1" spans="1:19" x14ac:dyDescent="0.25">
      <c r="A367" s="3" t="s">
        <v>20</v>
      </c>
      <c r="B367" s="3" t="s">
        <v>430</v>
      </c>
      <c r="C367" s="3" t="s">
        <v>755</v>
      </c>
      <c r="D367" s="3" t="s">
        <v>756</v>
      </c>
      <c r="E367" s="4">
        <v>60</v>
      </c>
      <c r="F367" s="5">
        <v>142.66666666666666</v>
      </c>
      <c r="G367" s="6">
        <v>45819</v>
      </c>
      <c r="H367" s="5">
        <v>97.5</v>
      </c>
      <c r="I367" s="7" t="s">
        <v>60</v>
      </c>
      <c r="J367" s="5">
        <v>105</v>
      </c>
      <c r="K367" s="24">
        <f>IF(AND(H367&gt;0,J367&gt;0),(J367-H367)/H367,"")</f>
        <v>0.07692307692307693</v>
      </c>
      <c r="L367" s="5">
        <v>175</v>
      </c>
      <c r="M367" s="23">
        <f>IF(AND(J367&gt;0,L367&gt;0),(L367-J367)/J367,IF(AND(H367&gt;0,L367&gt;0),(L367-H367)/H367,""))</f>
        <v>0.6666666666666665</v>
      </c>
      <c r="N367" s="6">
        <v>46057</v>
      </c>
      <c r="O367" s="5">
        <v>175</v>
      </c>
      <c r="P367" s="24">
        <f>IF(AND(L367&gt;0,O367&gt;0),(O367-L367)/L367,"")</f>
        <v>0</v>
      </c>
      <c r="Q367" s="9">
        <v>79</v>
      </c>
      <c r="R367" s="9">
        <v>4</v>
      </c>
      <c r="S367" s="9">
        <f>IF(N367&gt;0,TODAY()-N367,"")</f>
        <v>54</v>
      </c>
    </row>
    <row r="368" ht="17" customHeight="1" spans="1:19" x14ac:dyDescent="0.25">
      <c r="A368" s="11" t="s">
        <v>20</v>
      </c>
      <c r="B368" s="11" t="s">
        <v>430</v>
      </c>
      <c r="C368" s="11" t="s">
        <v>757</v>
      </c>
      <c r="D368" s="11" t="s">
        <v>758</v>
      </c>
      <c r="E368" s="12">
        <v>12</v>
      </c>
      <c r="F368" s="13">
        <v>141.45000000000002</v>
      </c>
      <c r="G368" s="14">
        <v>45912</v>
      </c>
      <c r="H368" s="13">
        <v>168.79</v>
      </c>
      <c r="I368" s="15" t="s">
        <v>24</v>
      </c>
      <c r="J368" s="13"/>
      <c r="K368" s="16" t="str">
        <f>IF(AND(H368&gt;0,J368&gt;0),(J368-H368)/H368,"")</f>
        <v/>
      </c>
      <c r="L368" s="13"/>
      <c r="M368" s="16" t="str">
        <f>IF(AND(J368&gt;0,L368&gt;0),(L368-J368)/J368,IF(AND(H368&gt;0,L368&gt;0),(L368-H368)/H368,""))</f>
        <v/>
      </c>
      <c r="N368" s="14">
        <v>46057</v>
      </c>
      <c r="O368" s="13">
        <v>127.78</v>
      </c>
      <c r="P368" s="25">
        <f>IF(AND(L368&gt;0,O368&gt;0),(O368-L368)/L368,"")</f>
        <v>-0.24296463060607854</v>
      </c>
      <c r="Q368" s="18">
        <v>73</v>
      </c>
      <c r="R368" s="18">
        <v>3</v>
      </c>
      <c r="S368" s="18">
        <f>IF(N368&gt;0,TODAY()-N368,"")</f>
        <v>54</v>
      </c>
    </row>
    <row r="369" ht="17" customHeight="1" spans="1:19" x14ac:dyDescent="0.25">
      <c r="A369" s="3" t="s">
        <v>20</v>
      </c>
      <c r="B369" s="3" t="s">
        <v>430</v>
      </c>
      <c r="C369" s="3" t="s">
        <v>759</v>
      </c>
      <c r="D369" s="3" t="s">
        <v>760</v>
      </c>
      <c r="E369" s="4">
        <v>4</v>
      </c>
      <c r="F369" s="5">
        <v>1260</v>
      </c>
      <c r="G369" s="6">
        <v>45664</v>
      </c>
      <c r="H369" s="5">
        <v>1260</v>
      </c>
      <c r="I369" s="7" t="s">
        <v>24</v>
      </c>
      <c r="J369" s="5"/>
      <c r="K369" s="8" t="str">
        <f>IF(AND(H369&gt;0,J369&gt;0),(J369-H369)/H369,"")</f>
        <v/>
      </c>
      <c r="L369" s="5"/>
      <c r="M369" s="8" t="str">
        <f>IF(AND(J369&gt;0,L369&gt;0),(L369-J369)/J369,IF(AND(H369&gt;0,L369&gt;0),(L369-H369)/H369,""))</f>
        <v/>
      </c>
      <c r="N369" s="6">
        <v>45664</v>
      </c>
      <c r="O369" s="5">
        <v>1260</v>
      </c>
      <c r="P369" s="8" t="str">
        <f>IF(AND(L369&gt;0,O369&gt;0),(O369-L369)/L369,"")</f>
        <v/>
      </c>
      <c r="Q369" s="9"/>
      <c r="R369" s="9">
        <v>1</v>
      </c>
      <c r="S369" s="10">
        <f>IF(N369&gt;0,TODAY()-N369,"")</f>
        <v>447</v>
      </c>
    </row>
    <row r="370" ht="17" customHeight="1" spans="1:19" x14ac:dyDescent="0.25">
      <c r="A370" s="11" t="s">
        <v>20</v>
      </c>
      <c r="B370" s="11" t="s">
        <v>430</v>
      </c>
      <c r="C370" s="11" t="s">
        <v>761</v>
      </c>
      <c r="D370" s="11" t="s">
        <v>762</v>
      </c>
      <c r="E370" s="12">
        <v>5750</v>
      </c>
      <c r="F370" s="13">
        <v>1.5730434782608695</v>
      </c>
      <c r="G370" s="14">
        <v>45713</v>
      </c>
      <c r="H370" s="13">
        <v>1.5</v>
      </c>
      <c r="I370" s="15" t="s">
        <v>57</v>
      </c>
      <c r="J370" s="13">
        <v>1.75</v>
      </c>
      <c r="K370" s="20">
        <f>IF(AND(H370&gt;0,J370&gt;0),(J370-H370)/H370,"")</f>
        <v>0.16666666666666663</v>
      </c>
      <c r="L370" s="13">
        <v>1.6</v>
      </c>
      <c r="M370" s="25">
        <f>IF(AND(J370&gt;0,L370&gt;0),(L370-J370)/J370,IF(AND(H370&gt;0,L370&gt;0),(L370-H370)/H370,""))</f>
        <v>-0.08571428571428566</v>
      </c>
      <c r="N370" s="14">
        <v>46104</v>
      </c>
      <c r="O370" s="13">
        <v>1.9</v>
      </c>
      <c r="P370" s="20">
        <f>IF(AND(L370&gt;0,O370&gt;0),(O370-L370)/L370,"")</f>
        <v>0.1874999999999999</v>
      </c>
      <c r="Q370" s="18">
        <v>36</v>
      </c>
      <c r="R370" s="18">
        <v>12</v>
      </c>
      <c r="S370" s="18">
        <f>IF(N370&gt;0,TODAY()-N370,"")</f>
        <v>7</v>
      </c>
    </row>
    <row r="371" ht="17" customHeight="1" spans="1:19" x14ac:dyDescent="0.25">
      <c r="A371" s="3" t="s">
        <v>20</v>
      </c>
      <c r="B371" s="3" t="s">
        <v>430</v>
      </c>
      <c r="C371" s="3" t="s">
        <v>763</v>
      </c>
      <c r="D371" s="3" t="s">
        <v>764</v>
      </c>
      <c r="E371" s="4">
        <v>1700</v>
      </c>
      <c r="F371" s="5">
        <v>1.811764705882353</v>
      </c>
      <c r="G371" s="6">
        <v>45840</v>
      </c>
      <c r="H371" s="5">
        <v>1.9</v>
      </c>
      <c r="I371" s="7" t="s">
        <v>24</v>
      </c>
      <c r="J371" s="5"/>
      <c r="K371" s="8" t="str">
        <f>IF(AND(H371&gt;0,J371&gt;0),(J371-H371)/H371,"")</f>
        <v/>
      </c>
      <c r="L371" s="5"/>
      <c r="M371" s="8" t="str">
        <f>IF(AND(J371&gt;0,L371&gt;0),(L371-J371)/J371,IF(AND(H371&gt;0,L371&gt;0),(L371-H371)/H371,""))</f>
        <v/>
      </c>
      <c r="N371" s="6">
        <v>46094</v>
      </c>
      <c r="O371" s="5">
        <v>1.6</v>
      </c>
      <c r="P371" s="26">
        <f>IF(AND(L371&gt;0,O371&gt;0),(O371-L371)/L371,"")</f>
        <v>-0.15789473684210517</v>
      </c>
      <c r="Q371" s="9">
        <v>127</v>
      </c>
      <c r="R371" s="9">
        <v>3</v>
      </c>
      <c r="S371" s="9">
        <f>IF(N371&gt;0,TODAY()-N371,"")</f>
        <v>17</v>
      </c>
    </row>
    <row r="372" ht="17" customHeight="1" spans="1:19" x14ac:dyDescent="0.25">
      <c r="A372" s="11" t="s">
        <v>20</v>
      </c>
      <c r="B372" s="11" t="s">
        <v>430</v>
      </c>
      <c r="C372" s="11" t="s">
        <v>765</v>
      </c>
      <c r="D372" s="11" t="s">
        <v>766</v>
      </c>
      <c r="E372" s="12">
        <v>250</v>
      </c>
      <c r="F372" s="13">
        <v>3.45</v>
      </c>
      <c r="G372" s="14">
        <v>45882</v>
      </c>
      <c r="H372" s="13">
        <v>3.45</v>
      </c>
      <c r="I372" s="15" t="s">
        <v>24</v>
      </c>
      <c r="J372" s="13"/>
      <c r="K372" s="16" t="str">
        <f>IF(AND(H372&gt;0,J372&gt;0),(J372-H372)/H372,"")</f>
        <v/>
      </c>
      <c r="L372" s="13"/>
      <c r="M372" s="16" t="str">
        <f>IF(AND(J372&gt;0,L372&gt;0),(L372-J372)/J372,IF(AND(H372&gt;0,L372&gt;0),(L372-H372)/H372,""))</f>
        <v/>
      </c>
      <c r="N372" s="14">
        <v>45882</v>
      </c>
      <c r="O372" s="13">
        <v>3.45</v>
      </c>
      <c r="P372" s="16" t="str">
        <f>IF(AND(L372&gt;0,O372&gt;0),(O372-L372)/L372,"")</f>
        <v/>
      </c>
      <c r="Q372" s="18"/>
      <c r="R372" s="18">
        <v>1</v>
      </c>
      <c r="S372" s="10">
        <f>IF(N372&gt;0,TODAY()-N372,"")</f>
        <v>229</v>
      </c>
    </row>
    <row r="373" ht="17" customHeight="1" spans="1:19" x14ac:dyDescent="0.25">
      <c r="A373" s="3" t="s">
        <v>20</v>
      </c>
      <c r="B373" s="3" t="s">
        <v>430</v>
      </c>
      <c r="C373" s="3" t="s">
        <v>767</v>
      </c>
      <c r="D373" s="3" t="s">
        <v>768</v>
      </c>
      <c r="E373" s="4">
        <v>250</v>
      </c>
      <c r="F373" s="5">
        <v>5.74</v>
      </c>
      <c r="G373" s="6">
        <v>46078</v>
      </c>
      <c r="H373" s="5">
        <v>5.74</v>
      </c>
      <c r="I373" s="7" t="s">
        <v>24</v>
      </c>
      <c r="J373" s="5"/>
      <c r="K373" s="8" t="str">
        <f>IF(AND(H373&gt;0,J373&gt;0),(J373-H373)/H373,"")</f>
        <v/>
      </c>
      <c r="L373" s="5"/>
      <c r="M373" s="8" t="str">
        <f>IF(AND(J373&gt;0,L373&gt;0),(L373-J373)/J373,IF(AND(H373&gt;0,L373&gt;0),(L373-H373)/H373,""))</f>
        <v/>
      </c>
      <c r="N373" s="6">
        <v>46104</v>
      </c>
      <c r="O373" s="5">
        <v>5.74</v>
      </c>
      <c r="P373" s="24">
        <f>IF(AND(L373&gt;0,O373&gt;0),(O373-L373)/L373,"")</f>
        <v>0</v>
      </c>
      <c r="Q373" s="9">
        <v>26</v>
      </c>
      <c r="R373" s="9">
        <v>2</v>
      </c>
      <c r="S373" s="9">
        <f>IF(N373&gt;0,TODAY()-N373,"")</f>
        <v>7</v>
      </c>
    </row>
    <row r="374" ht="17" customHeight="1" spans="1:19" x14ac:dyDescent="0.25">
      <c r="A374" s="11" t="s">
        <v>20</v>
      </c>
      <c r="B374" s="11" t="s">
        <v>430</v>
      </c>
      <c r="C374" s="11" t="s">
        <v>769</v>
      </c>
      <c r="D374" s="11" t="s">
        <v>770</v>
      </c>
      <c r="E374" s="12">
        <v>2000</v>
      </c>
      <c r="F374" s="13">
        <v>3.95</v>
      </c>
      <c r="G374" s="14">
        <v>45840</v>
      </c>
      <c r="H374" s="13">
        <v>3.95</v>
      </c>
      <c r="I374" s="15" t="s">
        <v>24</v>
      </c>
      <c r="J374" s="13"/>
      <c r="K374" s="16" t="str">
        <f>IF(AND(H374&gt;0,J374&gt;0),(J374-H374)/H374,"")</f>
        <v/>
      </c>
      <c r="L374" s="13"/>
      <c r="M374" s="16" t="str">
        <f>IF(AND(J374&gt;0,L374&gt;0),(L374-J374)/J374,IF(AND(H374&gt;0,L374&gt;0),(L374-H374)/H374,""))</f>
        <v/>
      </c>
      <c r="N374" s="14">
        <v>45840</v>
      </c>
      <c r="O374" s="13">
        <v>3.95</v>
      </c>
      <c r="P374" s="16" t="str">
        <f>IF(AND(L374&gt;0,O374&gt;0),(O374-L374)/L374,"")</f>
        <v/>
      </c>
      <c r="Q374" s="18"/>
      <c r="R374" s="18">
        <v>1</v>
      </c>
      <c r="S374" s="10">
        <f>IF(N374&gt;0,TODAY()-N374,"")</f>
        <v>271</v>
      </c>
    </row>
    <row r="375" ht="17" customHeight="1" spans="1:19" x14ac:dyDescent="0.25">
      <c r="A375" s="3" t="s">
        <v>20</v>
      </c>
      <c r="B375" s="3" t="s">
        <v>430</v>
      </c>
      <c r="C375" s="3" t="s">
        <v>771</v>
      </c>
      <c r="D375" s="3" t="s">
        <v>772</v>
      </c>
      <c r="E375" s="4">
        <v>1350</v>
      </c>
      <c r="F375" s="5">
        <v>3.6296296296296298</v>
      </c>
      <c r="G375" s="6">
        <v>45672</v>
      </c>
      <c r="H375" s="5">
        <v>2.9</v>
      </c>
      <c r="I375" s="7" t="s">
        <v>57</v>
      </c>
      <c r="J375" s="5">
        <v>3.8</v>
      </c>
      <c r="K375" s="23">
        <f>IF(AND(H375&gt;0,J375&gt;0),(J375-H375)/H375,"")</f>
        <v>0.31034482758620685</v>
      </c>
      <c r="L375" s="5">
        <v>3.75</v>
      </c>
      <c r="M375" s="26">
        <f>IF(AND(J375&gt;0,L375&gt;0),(L375-J375)/J375,IF(AND(H375&gt;0,L375&gt;0),(L375-H375)/H375,""))</f>
        <v>-0.01315789473684206</v>
      </c>
      <c r="N375" s="6">
        <v>46038</v>
      </c>
      <c r="O375" s="5">
        <v>3.75</v>
      </c>
      <c r="P375" s="8" t="str">
        <f>IF(AND(L375&gt;0,O375&gt;0),(O375-L375)/L375,"")</f>
        <v/>
      </c>
      <c r="Q375" s="9">
        <v>183</v>
      </c>
      <c r="R375" s="9">
        <v>3</v>
      </c>
      <c r="S375" s="19">
        <f>IF(N375&gt;0,TODAY()-N375,"")</f>
        <v>73</v>
      </c>
    </row>
    <row r="376" ht="17" customHeight="1" spans="1:19" x14ac:dyDescent="0.25">
      <c r="A376" s="11" t="s">
        <v>20</v>
      </c>
      <c r="B376" s="11" t="s">
        <v>430</v>
      </c>
      <c r="C376" s="11" t="s">
        <v>773</v>
      </c>
      <c r="D376" s="11" t="s">
        <v>774</v>
      </c>
      <c r="E376" s="12">
        <v>600</v>
      </c>
      <c r="F376" s="13">
        <v>142.66666666666666</v>
      </c>
      <c r="G376" s="14">
        <v>45730</v>
      </c>
      <c r="H376" s="13">
        <v>128</v>
      </c>
      <c r="I376" s="15" t="s">
        <v>60</v>
      </c>
      <c r="J376" s="13">
        <v>155</v>
      </c>
      <c r="K376" s="20">
        <f>IF(AND(H376&gt;0,J376&gt;0),(J376-H376)/H376,"")</f>
        <v>0.2109375</v>
      </c>
      <c r="L376" s="13"/>
      <c r="M376" s="16" t="str">
        <f>IF(AND(J376&gt;0,L376&gt;0),(L376-J376)/J376,IF(AND(H376&gt;0,L376&gt;0),(L376-H376)/H376,""))</f>
        <v/>
      </c>
      <c r="N376" s="14">
        <v>46090</v>
      </c>
      <c r="O376" s="13">
        <v>155</v>
      </c>
      <c r="P376" s="17">
        <f>IF(AND(L376&gt;0,O376&gt;0),(O376-L376)/L376,"")</f>
        <v>0</v>
      </c>
      <c r="Q376" s="18">
        <v>72</v>
      </c>
      <c r="R376" s="18">
        <v>6</v>
      </c>
      <c r="S376" s="18">
        <f>IF(N376&gt;0,TODAY()-N376,"")</f>
        <v>21</v>
      </c>
    </row>
    <row r="377" ht="17" customHeight="1" spans="1:19" x14ac:dyDescent="0.25">
      <c r="A377" s="3" t="s">
        <v>20</v>
      </c>
      <c r="B377" s="3" t="s">
        <v>430</v>
      </c>
      <c r="C377" s="3" t="s">
        <v>775</v>
      </c>
      <c r="D377" s="3" t="s">
        <v>776</v>
      </c>
      <c r="E377" s="4">
        <v>70</v>
      </c>
      <c r="F377" s="5">
        <v>38.857142857142854</v>
      </c>
      <c r="G377" s="6">
        <v>45730</v>
      </c>
      <c r="H377" s="5">
        <v>38</v>
      </c>
      <c r="I377" s="7" t="s">
        <v>24</v>
      </c>
      <c r="J377" s="5"/>
      <c r="K377" s="8" t="str">
        <f>IF(AND(H377&gt;0,J377&gt;0),(J377-H377)/H377,"")</f>
        <v/>
      </c>
      <c r="L377" s="5"/>
      <c r="M377" s="8" t="str">
        <f>IF(AND(J377&gt;0,L377&gt;0),(L377-J377)/J377,IF(AND(H377&gt;0,L377&gt;0),(L377-H377)/H377,""))</f>
        <v/>
      </c>
      <c r="N377" s="6">
        <v>45820</v>
      </c>
      <c r="O377" s="5">
        <v>40</v>
      </c>
      <c r="P377" s="8" t="str">
        <f>IF(AND(L377&gt;0,O377&gt;0),(O377-L377)/L377,"")</f>
        <v/>
      </c>
      <c r="Q377" s="9">
        <v>90</v>
      </c>
      <c r="R377" s="9">
        <v>2</v>
      </c>
      <c r="S377" s="10">
        <f>IF(N377&gt;0,TODAY()-N377,"")</f>
        <v>291</v>
      </c>
    </row>
    <row r="378" ht="17" customHeight="1" spans="1:19" x14ac:dyDescent="0.25">
      <c r="A378" s="11" t="s">
        <v>20</v>
      </c>
      <c r="B378" s="11" t="s">
        <v>430</v>
      </c>
      <c r="C378" s="11" t="s">
        <v>777</v>
      </c>
      <c r="D378" s="11" t="s">
        <v>778</v>
      </c>
      <c r="E378" s="12">
        <v>10</v>
      </c>
      <c r="F378" s="13">
        <v>100</v>
      </c>
      <c r="G378" s="14">
        <v>45975</v>
      </c>
      <c r="H378" s="13">
        <v>100</v>
      </c>
      <c r="I378" s="15" t="s">
        <v>60</v>
      </c>
      <c r="J378" s="13">
        <v>100</v>
      </c>
      <c r="K378" s="17">
        <f>IF(AND(H378&gt;0,J378&gt;0),(J378-H378)/H378,"")</f>
        <v>0</v>
      </c>
      <c r="L378" s="13"/>
      <c r="M378" s="16" t="str">
        <f>IF(AND(J378&gt;0,L378&gt;0),(L378-J378)/J378,IF(AND(H378&gt;0,L378&gt;0),(L378-H378)/H378,""))</f>
        <v/>
      </c>
      <c r="N378" s="14">
        <v>45975</v>
      </c>
      <c r="O378" s="13">
        <v>100</v>
      </c>
      <c r="P378" s="16" t="str">
        <f>IF(AND(L378&gt;0,O378&gt;0),(O378-L378)/L378,"")</f>
        <v/>
      </c>
      <c r="Q378" s="18"/>
      <c r="R378" s="18">
        <v>1</v>
      </c>
      <c r="S378" s="21">
        <f>IF(N378&gt;0,TODAY()-N378,"")</f>
        <v>136</v>
      </c>
    </row>
    <row r="379" ht="17" customHeight="1" spans="1:19" x14ac:dyDescent="0.25">
      <c r="A379" s="3" t="s">
        <v>20</v>
      </c>
      <c r="B379" s="3" t="s">
        <v>430</v>
      </c>
      <c r="C379" s="3" t="s">
        <v>779</v>
      </c>
      <c r="D379" s="3" t="s">
        <v>780</v>
      </c>
      <c r="E379" s="4">
        <v>270</v>
      </c>
      <c r="F379" s="5">
        <v>32.96296296296296</v>
      </c>
      <c r="G379" s="6">
        <v>45730</v>
      </c>
      <c r="H379" s="5">
        <v>30</v>
      </c>
      <c r="I379" s="7" t="s">
        <v>60</v>
      </c>
      <c r="J379" s="5">
        <v>35</v>
      </c>
      <c r="K379" s="22">
        <f>IF(AND(H379&gt;0,J379&gt;0),(J379-H379)/H379,"")</f>
        <v>0.16666666666666663</v>
      </c>
      <c r="L379" s="5">
        <v>35</v>
      </c>
      <c r="M379" s="24">
        <f>IF(AND(J379&gt;0,L379&gt;0),(L379-J379)/J379,IF(AND(H379&gt;0,L379&gt;0),(L379-H379)/H379,""))</f>
        <v>0</v>
      </c>
      <c r="N379" s="6">
        <v>46090</v>
      </c>
      <c r="O379" s="5">
        <v>35</v>
      </c>
      <c r="P379" s="24">
        <f>IF(AND(L379&gt;0,O379&gt;0),(O379-L379)/L379,"")</f>
        <v>0</v>
      </c>
      <c r="Q379" s="9">
        <v>60</v>
      </c>
      <c r="R379" s="9">
        <v>7</v>
      </c>
      <c r="S379" s="9">
        <f>IF(N379&gt;0,TODAY()-N379,"")</f>
        <v>21</v>
      </c>
    </row>
    <row r="380" ht="17" customHeight="1" spans="1:19" x14ac:dyDescent="0.25">
      <c r="A380" s="11" t="s">
        <v>20</v>
      </c>
      <c r="B380" s="11" t="s">
        <v>430</v>
      </c>
      <c r="C380" s="11" t="s">
        <v>781</v>
      </c>
      <c r="D380" s="11" t="s">
        <v>782</v>
      </c>
      <c r="E380" s="12">
        <v>40</v>
      </c>
      <c r="F380" s="13">
        <v>105.59825000000001</v>
      </c>
      <c r="G380" s="14">
        <v>45979</v>
      </c>
      <c r="H380" s="13">
        <v>105.6</v>
      </c>
      <c r="I380" s="15" t="s">
        <v>60</v>
      </c>
      <c r="J380" s="13">
        <v>105.6</v>
      </c>
      <c r="K380" s="17">
        <f>IF(AND(H380&gt;0,J380&gt;0),(J380-H380)/H380,"")</f>
        <v>0</v>
      </c>
      <c r="L380" s="13"/>
      <c r="M380" s="16" t="str">
        <f>IF(AND(J380&gt;0,L380&gt;0),(L380-J380)/J380,IF(AND(H380&gt;0,L380&gt;0),(L380-H380)/H380,""))</f>
        <v/>
      </c>
      <c r="N380" s="14">
        <v>45979</v>
      </c>
      <c r="O380" s="13">
        <v>105.6</v>
      </c>
      <c r="P380" s="16" t="str">
        <f>IF(AND(L380&gt;0,O380&gt;0),(O380-L380)/L380,"")</f>
        <v/>
      </c>
      <c r="Q380" s="18"/>
      <c r="R380" s="18">
        <v>1</v>
      </c>
      <c r="S380" s="21">
        <f>IF(N380&gt;0,TODAY()-N380,"")</f>
        <v>132</v>
      </c>
    </row>
    <row r="381" ht="17" customHeight="1" spans="1:19" x14ac:dyDescent="0.25">
      <c r="A381" s="3" t="s">
        <v>20</v>
      </c>
      <c r="B381" s="3" t="s">
        <v>430</v>
      </c>
      <c r="C381" s="3" t="s">
        <v>783</v>
      </c>
      <c r="D381" s="3" t="s">
        <v>784</v>
      </c>
      <c r="E381" s="4">
        <v>74</v>
      </c>
      <c r="F381" s="5">
        <v>189.75175675675678</v>
      </c>
      <c r="G381" s="6">
        <v>45757</v>
      </c>
      <c r="H381" s="5">
        <v>179.32</v>
      </c>
      <c r="I381" s="7" t="s">
        <v>57</v>
      </c>
      <c r="J381" s="5">
        <v>198.09</v>
      </c>
      <c r="K381" s="22">
        <f>IF(AND(H381&gt;0,J381&gt;0),(J381-H381)/H381,"")</f>
        <v>0.10467320990408215</v>
      </c>
      <c r="L381" s="5"/>
      <c r="M381" s="8" t="str">
        <f>IF(AND(J381&gt;0,L381&gt;0),(L381-J381)/J381,IF(AND(H381&gt;0,L381&gt;0),(L381-H381)/H381,""))</f>
        <v/>
      </c>
      <c r="N381" s="6">
        <v>46108</v>
      </c>
      <c r="O381" s="5">
        <v>199.37</v>
      </c>
      <c r="P381" s="24">
        <f>IF(AND(L381&gt;0,O381&gt;0),(O381-L381)/L381,"")</f>
        <v>0.006461709324044632</v>
      </c>
      <c r="Q381" s="9">
        <v>117</v>
      </c>
      <c r="R381" s="9">
        <v>4</v>
      </c>
      <c r="S381" s="9">
        <f>IF(N381&gt;0,TODAY()-N381,"")</f>
        <v>3</v>
      </c>
    </row>
    <row r="382" ht="17" customHeight="1" spans="1:19" x14ac:dyDescent="0.25">
      <c r="A382" s="11" t="s">
        <v>20</v>
      </c>
      <c r="B382" s="11" t="s">
        <v>430</v>
      </c>
      <c r="C382" s="11" t="s">
        <v>785</v>
      </c>
      <c r="D382" s="11" t="s">
        <v>786</v>
      </c>
      <c r="E382" s="12">
        <v>20</v>
      </c>
      <c r="F382" s="13">
        <v>4866.504</v>
      </c>
      <c r="G382" s="14">
        <v>45786</v>
      </c>
      <c r="H382" s="13">
        <v>4620.09</v>
      </c>
      <c r="I382" s="15" t="s">
        <v>24</v>
      </c>
      <c r="J382" s="13"/>
      <c r="K382" s="16" t="str">
        <f>IF(AND(H382&gt;0,J382&gt;0),(J382-H382)/H382,"")</f>
        <v/>
      </c>
      <c r="L382" s="13"/>
      <c r="M382" s="16" t="str">
        <f>IF(AND(J382&gt;0,L382&gt;0),(L382-J382)/J382,IF(AND(H382&gt;0,L382&gt;0),(L382-H382)/H382,""))</f>
        <v/>
      </c>
      <c r="N382" s="14">
        <v>45926</v>
      </c>
      <c r="O382" s="13">
        <v>5112.92</v>
      </c>
      <c r="P382" s="16" t="str">
        <f>IF(AND(L382&gt;0,O382&gt;0),(O382-L382)/L382,"")</f>
        <v/>
      </c>
      <c r="Q382" s="18">
        <v>140</v>
      </c>
      <c r="R382" s="18">
        <v>2</v>
      </c>
      <c r="S382" s="10">
        <f>IF(N382&gt;0,TODAY()-N382,"")</f>
        <v>185</v>
      </c>
    </row>
    <row r="383" ht="17" customHeight="1" spans="1:19" x14ac:dyDescent="0.25">
      <c r="A383" s="3" t="s">
        <v>20</v>
      </c>
      <c r="B383" s="3" t="s">
        <v>430</v>
      </c>
      <c r="C383" s="3" t="s">
        <v>787</v>
      </c>
      <c r="D383" s="3" t="s">
        <v>788</v>
      </c>
      <c r="E383" s="4">
        <v>1</v>
      </c>
      <c r="F383" s="5">
        <v>14788.11</v>
      </c>
      <c r="G383" s="6">
        <v>45954</v>
      </c>
      <c r="H383" s="5">
        <v>14788.11</v>
      </c>
      <c r="I383" s="7" t="s">
        <v>57</v>
      </c>
      <c r="J383" s="5">
        <v>14788.11</v>
      </c>
      <c r="K383" s="24">
        <f>IF(AND(H383&gt;0,J383&gt;0),(J383-H383)/H383,"")</f>
        <v>0</v>
      </c>
      <c r="L383" s="5"/>
      <c r="M383" s="8" t="str">
        <f>IF(AND(J383&gt;0,L383&gt;0),(L383-J383)/J383,IF(AND(H383&gt;0,L383&gt;0),(L383-H383)/H383,""))</f>
        <v/>
      </c>
      <c r="N383" s="6">
        <v>45954</v>
      </c>
      <c r="O383" s="5">
        <v>14788.11</v>
      </c>
      <c r="P383" s="8" t="str">
        <f>IF(AND(L383&gt;0,O383&gt;0),(O383-L383)/L383,"")</f>
        <v/>
      </c>
      <c r="Q383" s="9"/>
      <c r="R383" s="9">
        <v>1</v>
      </c>
      <c r="S383" s="21">
        <f>IF(N383&gt;0,TODAY()-N383,"")</f>
        <v>157</v>
      </c>
    </row>
    <row r="384" ht="17" customHeight="1" spans="1:19" x14ac:dyDescent="0.25">
      <c r="A384" s="11" t="s">
        <v>20</v>
      </c>
      <c r="B384" s="11" t="s">
        <v>430</v>
      </c>
      <c r="C384" s="11" t="s">
        <v>789</v>
      </c>
      <c r="D384" s="11" t="s">
        <v>790</v>
      </c>
      <c r="E384" s="12">
        <v>10</v>
      </c>
      <c r="F384" s="13">
        <v>225</v>
      </c>
      <c r="G384" s="14">
        <v>46062</v>
      </c>
      <c r="H384" s="13">
        <v>225</v>
      </c>
      <c r="I384" s="15" t="s">
        <v>24</v>
      </c>
      <c r="J384" s="13"/>
      <c r="K384" s="16" t="str">
        <f>IF(AND(H384&gt;0,J384&gt;0),(J384-H384)/H384,"")</f>
        <v/>
      </c>
      <c r="L384" s="13"/>
      <c r="M384" s="16" t="str">
        <f>IF(AND(J384&gt;0,L384&gt;0),(L384-J384)/J384,IF(AND(H384&gt;0,L384&gt;0),(L384-H384)/H384,""))</f>
        <v/>
      </c>
      <c r="N384" s="14">
        <v>46062</v>
      </c>
      <c r="O384" s="13">
        <v>225</v>
      </c>
      <c r="P384" s="17">
        <f>IF(AND(L384&gt;0,O384&gt;0),(O384-L384)/L384,"")</f>
        <v>0</v>
      </c>
      <c r="Q384" s="18"/>
      <c r="R384" s="18">
        <v>1</v>
      </c>
      <c r="S384" s="18">
        <f>IF(N384&gt;0,TODAY()-N384,"")</f>
        <v>49</v>
      </c>
    </row>
    <row r="385" ht="17" customHeight="1" spans="1:19" x14ac:dyDescent="0.25">
      <c r="A385" s="3" t="s">
        <v>20</v>
      </c>
      <c r="B385" s="3" t="s">
        <v>430</v>
      </c>
      <c r="C385" s="3" t="s">
        <v>791</v>
      </c>
      <c r="D385" s="3" t="s">
        <v>792</v>
      </c>
      <c r="E385" s="4">
        <v>57</v>
      </c>
      <c r="F385" s="5">
        <v>173.42105263157896</v>
      </c>
      <c r="G385" s="6">
        <v>45709</v>
      </c>
      <c r="H385" s="5">
        <v>165</v>
      </c>
      <c r="I385" s="7" t="s">
        <v>54</v>
      </c>
      <c r="J385" s="5">
        <v>180</v>
      </c>
      <c r="K385" s="24">
        <f>IF(AND(H385&gt;0,J385&gt;0),(J385-H385)/H385,"")</f>
        <v>0.09090909090909091</v>
      </c>
      <c r="L385" s="5"/>
      <c r="M385" s="8" t="str">
        <f>IF(AND(J385&gt;0,L385&gt;0),(L385-J385)/J385,IF(AND(H385&gt;0,L385&gt;0),(L385-H385)/H385,""))</f>
        <v/>
      </c>
      <c r="N385" s="6">
        <v>45995</v>
      </c>
      <c r="O385" s="5">
        <v>180</v>
      </c>
      <c r="P385" s="8" t="str">
        <f>IF(AND(L385&gt;0,O385&gt;0),(O385-L385)/L385,"")</f>
        <v/>
      </c>
      <c r="Q385" s="9">
        <v>143</v>
      </c>
      <c r="R385" s="9">
        <v>3</v>
      </c>
      <c r="S385" s="21">
        <f>IF(N385&gt;0,TODAY()-N385,"")</f>
        <v>116</v>
      </c>
    </row>
    <row r="386" ht="17" customHeight="1" spans="1:19" x14ac:dyDescent="0.25">
      <c r="A386" s="11" t="s">
        <v>20</v>
      </c>
      <c r="B386" s="11" t="s">
        <v>430</v>
      </c>
      <c r="C386" s="11" t="s">
        <v>793</v>
      </c>
      <c r="D386" s="11" t="s">
        <v>794</v>
      </c>
      <c r="E386" s="12">
        <v>84</v>
      </c>
      <c r="F386" s="13">
        <v>152.85714285714286</v>
      </c>
      <c r="G386" s="14">
        <v>45663</v>
      </c>
      <c r="H386" s="13">
        <v>180</v>
      </c>
      <c r="I386" s="15" t="s">
        <v>24</v>
      </c>
      <c r="J386" s="13"/>
      <c r="K386" s="16" t="str">
        <f>IF(AND(H386&gt;0,J386&gt;0),(J386-H386)/H386,"")</f>
        <v/>
      </c>
      <c r="L386" s="13"/>
      <c r="M386" s="16" t="str">
        <f>IF(AND(J386&gt;0,L386&gt;0),(L386-J386)/J386,IF(AND(H386&gt;0,L386&gt;0),(L386-H386)/H386,""))</f>
        <v/>
      </c>
      <c r="N386" s="14">
        <v>45820</v>
      </c>
      <c r="O386" s="13">
        <v>155</v>
      </c>
      <c r="P386" s="16" t="str">
        <f>IF(AND(L386&gt;0,O386&gt;0),(O386-L386)/L386,"")</f>
        <v/>
      </c>
      <c r="Q386" s="18">
        <v>39</v>
      </c>
      <c r="R386" s="18">
        <v>5</v>
      </c>
      <c r="S386" s="10">
        <f>IF(N386&gt;0,TODAY()-N386,"")</f>
        <v>291</v>
      </c>
    </row>
    <row r="387" ht="17" customHeight="1" spans="1:19" x14ac:dyDescent="0.25">
      <c r="A387" s="3" t="s">
        <v>20</v>
      </c>
      <c r="B387" s="3" t="s">
        <v>430</v>
      </c>
      <c r="C387" s="3" t="s">
        <v>795</v>
      </c>
      <c r="D387" s="3" t="s">
        <v>796</v>
      </c>
      <c r="E387" s="4">
        <v>1000</v>
      </c>
      <c r="F387" s="5">
        <v>0.60638</v>
      </c>
      <c r="G387" s="6">
        <v>45688</v>
      </c>
      <c r="H387" s="5">
        <v>0.61</v>
      </c>
      <c r="I387" s="7" t="s">
        <v>24</v>
      </c>
      <c r="J387" s="5"/>
      <c r="K387" s="8" t="str">
        <f>IF(AND(H387&gt;0,J387&gt;0),(J387-H387)/H387,"")</f>
        <v/>
      </c>
      <c r="L387" s="5"/>
      <c r="M387" s="8" t="str">
        <f>IF(AND(J387&gt;0,L387&gt;0),(L387-J387)/J387,IF(AND(H387&gt;0,L387&gt;0),(L387-H387)/H387,""))</f>
        <v/>
      </c>
      <c r="N387" s="6">
        <v>45688</v>
      </c>
      <c r="O387" s="5">
        <v>0.61</v>
      </c>
      <c r="P387" s="8" t="str">
        <f>IF(AND(L387&gt;0,O387&gt;0),(O387-L387)/L387,"")</f>
        <v/>
      </c>
      <c r="Q387" s="9"/>
      <c r="R387" s="9">
        <v>1</v>
      </c>
      <c r="S387" s="10">
        <f>IF(N387&gt;0,TODAY()-N387,"")</f>
        <v>423</v>
      </c>
    </row>
    <row r="388" ht="17" customHeight="1" spans="1:19" x14ac:dyDescent="0.25">
      <c r="A388" s="11" t="s">
        <v>20</v>
      </c>
      <c r="B388" s="11" t="s">
        <v>430</v>
      </c>
      <c r="C388" s="11" t="s">
        <v>797</v>
      </c>
      <c r="D388" s="11" t="s">
        <v>796</v>
      </c>
      <c r="E388" s="12">
        <v>79000</v>
      </c>
      <c r="F388" s="13">
        <v>0.4886603797468354</v>
      </c>
      <c r="G388" s="14">
        <v>45698</v>
      </c>
      <c r="H388" s="13">
        <v>0.43</v>
      </c>
      <c r="I388" s="15" t="s">
        <v>60</v>
      </c>
      <c r="J388" s="13">
        <v>0.48</v>
      </c>
      <c r="K388" s="20">
        <f>IF(AND(H388&gt;0,J388&gt;0),(J388-H388)/H388,"")</f>
        <v>0.11627906976744183</v>
      </c>
      <c r="L388" s="13"/>
      <c r="M388" s="16" t="str">
        <f>IF(AND(J388&gt;0,L388&gt;0),(L388-J388)/J388,IF(AND(H388&gt;0,L388&gt;0),(L388-H388)/H388,""))</f>
        <v/>
      </c>
      <c r="N388" s="14">
        <v>46097</v>
      </c>
      <c r="O388" s="13">
        <v>0.54</v>
      </c>
      <c r="P388" s="20">
        <f>IF(AND(L388&gt;0,O388&gt;0),(O388-L388)/L388,"")</f>
        <v>0.1250000000000001</v>
      </c>
      <c r="Q388" s="18">
        <v>33</v>
      </c>
      <c r="R388" s="18">
        <v>13</v>
      </c>
      <c r="S388" s="18">
        <f>IF(N388&gt;0,TODAY()-N388,"")</f>
        <v>14</v>
      </c>
    </row>
    <row r="389" ht="17" customHeight="1" spans="1:19" x14ac:dyDescent="0.25">
      <c r="A389" s="3" t="s">
        <v>20</v>
      </c>
      <c r="B389" s="3" t="s">
        <v>430</v>
      </c>
      <c r="C389" s="3" t="s">
        <v>798</v>
      </c>
      <c r="D389" s="3" t="s">
        <v>799</v>
      </c>
      <c r="E389" s="4">
        <v>20</v>
      </c>
      <c r="F389" s="5">
        <v>282.5</v>
      </c>
      <c r="G389" s="6">
        <v>45680</v>
      </c>
      <c r="H389" s="5">
        <v>240</v>
      </c>
      <c r="I389" s="7" t="s">
        <v>24</v>
      </c>
      <c r="J389" s="5"/>
      <c r="K389" s="8" t="str">
        <f>IF(AND(H389&gt;0,J389&gt;0),(J389-H389)/H389,"")</f>
        <v/>
      </c>
      <c r="L389" s="5"/>
      <c r="M389" s="8" t="str">
        <f>IF(AND(J389&gt;0,L389&gt;0),(L389-J389)/J389,IF(AND(H389&gt;0,L389&gt;0),(L389-H389)/H389,""))</f>
        <v/>
      </c>
      <c r="N389" s="6">
        <v>46062</v>
      </c>
      <c r="O389" s="5">
        <v>325</v>
      </c>
      <c r="P389" s="23">
        <f>IF(AND(L389&gt;0,O389&gt;0),(O389-L389)/L389,"")</f>
        <v>0.35416666666666674</v>
      </c>
      <c r="Q389" s="9">
        <v>191</v>
      </c>
      <c r="R389" s="9">
        <v>3</v>
      </c>
      <c r="S389" s="9">
        <f>IF(N389&gt;0,TODAY()-N389,"")</f>
        <v>49</v>
      </c>
    </row>
    <row r="390" ht="17" customHeight="1" spans="1:19" x14ac:dyDescent="0.25">
      <c r="A390" s="11" t="s">
        <v>20</v>
      </c>
      <c r="B390" s="11" t="s">
        <v>430</v>
      </c>
      <c r="C390" s="11" t="s">
        <v>800</v>
      </c>
      <c r="D390" s="11" t="s">
        <v>801</v>
      </c>
      <c r="E390" s="12">
        <v>3</v>
      </c>
      <c r="F390" s="13">
        <v>222.14</v>
      </c>
      <c r="G390" s="14">
        <v>45887</v>
      </c>
      <c r="H390" s="13">
        <v>249.92</v>
      </c>
      <c r="I390" s="15" t="s">
        <v>24</v>
      </c>
      <c r="J390" s="13"/>
      <c r="K390" s="16" t="str">
        <f>IF(AND(H390&gt;0,J390&gt;0),(J390-H390)/H390,"")</f>
        <v/>
      </c>
      <c r="L390" s="13"/>
      <c r="M390" s="16" t="str">
        <f>IF(AND(J390&gt;0,L390&gt;0),(L390-J390)/J390,IF(AND(H390&gt;0,L390&gt;0),(L390-H390)/H390,""))</f>
        <v/>
      </c>
      <c r="N390" s="14">
        <v>45930</v>
      </c>
      <c r="O390" s="13">
        <v>208.25</v>
      </c>
      <c r="P390" s="16" t="str">
        <f>IF(AND(L390&gt;0,O390&gt;0),(O390-L390)/L390,"")</f>
        <v/>
      </c>
      <c r="Q390" s="18">
        <v>43</v>
      </c>
      <c r="R390" s="18">
        <v>2</v>
      </c>
      <c r="S390" s="10">
        <f>IF(N390&gt;0,TODAY()-N390,"")</f>
        <v>181</v>
      </c>
    </row>
    <row r="391" ht="17" customHeight="1" spans="1:19" x14ac:dyDescent="0.25">
      <c r="A391" s="3" t="s">
        <v>20</v>
      </c>
      <c r="B391" s="3" t="s">
        <v>430</v>
      </c>
      <c r="C391" s="3" t="s">
        <v>802</v>
      </c>
      <c r="D391" s="3" t="s">
        <v>803</v>
      </c>
      <c r="E391" s="4">
        <v>3200</v>
      </c>
      <c r="F391" s="5">
        <v>3.113125</v>
      </c>
      <c r="G391" s="6">
        <v>45756</v>
      </c>
      <c r="H391" s="5">
        <v>3.2</v>
      </c>
      <c r="I391" s="7" t="s">
        <v>57</v>
      </c>
      <c r="J391" s="5">
        <v>2.61</v>
      </c>
      <c r="K391" s="26">
        <f>IF(AND(H391&gt;0,J391&gt;0),(J391-H391)/H391,"")</f>
        <v>-0.1843750000000001</v>
      </c>
      <c r="L391" s="5">
        <v>3.46</v>
      </c>
      <c r="M391" s="23">
        <f>IF(AND(J391&gt;0,L391&gt;0),(L391-J391)/J391,IF(AND(H391&gt;0,L391&gt;0),(L391-H391)/H391,""))</f>
        <v>0.32567049808429116</v>
      </c>
      <c r="N391" s="6">
        <v>46057</v>
      </c>
      <c r="O391" s="5">
        <v>3.46</v>
      </c>
      <c r="P391" s="24">
        <f>IF(AND(L391&gt;0,O391&gt;0),(O391-L391)/L391,"")</f>
        <v>0</v>
      </c>
      <c r="Q391" s="9">
        <v>100</v>
      </c>
      <c r="R391" s="9">
        <v>4</v>
      </c>
      <c r="S391" s="9">
        <f>IF(N391&gt;0,TODAY()-N391,"")</f>
        <v>54</v>
      </c>
    </row>
    <row r="392" ht="17" customHeight="1" spans="1:19" x14ac:dyDescent="0.25">
      <c r="A392" s="11" t="s">
        <v>20</v>
      </c>
      <c r="B392" s="11" t="s">
        <v>430</v>
      </c>
      <c r="C392" s="11" t="s">
        <v>804</v>
      </c>
      <c r="D392" s="11" t="s">
        <v>805</v>
      </c>
      <c r="E392" s="12">
        <v>2250</v>
      </c>
      <c r="F392" s="13">
        <v>1.7755555555555556</v>
      </c>
      <c r="G392" s="14">
        <v>45756</v>
      </c>
      <c r="H392" s="13">
        <v>1.58</v>
      </c>
      <c r="I392" s="15" t="s">
        <v>60</v>
      </c>
      <c r="J392" s="13">
        <v>2.02</v>
      </c>
      <c r="K392" s="23">
        <f>IF(AND(H392&gt;0,J392&gt;0),(J392-H392)/H392,"")</f>
        <v>0.2784810126582278</v>
      </c>
      <c r="L392" s="13"/>
      <c r="M392" s="16" t="str">
        <f>IF(AND(J392&gt;0,L392&gt;0),(L392-J392)/J392,IF(AND(H392&gt;0,L392&gt;0),(L392-H392)/H392,""))</f>
        <v/>
      </c>
      <c r="N392" s="14">
        <v>46078</v>
      </c>
      <c r="O392" s="13">
        <v>1.58</v>
      </c>
      <c r="P392" s="25">
        <f>IF(AND(L392&gt;0,O392&gt;0),(O392-L392)/L392,"")</f>
        <v>-0.2178217821782178</v>
      </c>
      <c r="Q392" s="18">
        <v>161</v>
      </c>
      <c r="R392" s="18">
        <v>3</v>
      </c>
      <c r="S392" s="18">
        <f>IF(N392&gt;0,TODAY()-N392,"")</f>
        <v>33</v>
      </c>
    </row>
    <row r="393" ht="17" customHeight="1" spans="1:19" x14ac:dyDescent="0.25">
      <c r="A393" s="3" t="s">
        <v>20</v>
      </c>
      <c r="B393" s="3" t="s">
        <v>430</v>
      </c>
      <c r="C393" s="3" t="s">
        <v>806</v>
      </c>
      <c r="D393" s="3" t="s">
        <v>807</v>
      </c>
      <c r="E393" s="4">
        <v>36</v>
      </c>
      <c r="F393" s="5">
        <v>7</v>
      </c>
      <c r="G393" s="6">
        <v>45721</v>
      </c>
      <c r="H393" s="5">
        <v>7</v>
      </c>
      <c r="I393" s="7" t="s">
        <v>24</v>
      </c>
      <c r="J393" s="5"/>
      <c r="K393" s="8" t="str">
        <f>IF(AND(H393&gt;0,J393&gt;0),(J393-H393)/H393,"")</f>
        <v/>
      </c>
      <c r="L393" s="5"/>
      <c r="M393" s="8" t="str">
        <f>IF(AND(J393&gt;0,L393&gt;0),(L393-J393)/J393,IF(AND(H393&gt;0,L393&gt;0),(L393-H393)/H393,""))</f>
        <v/>
      </c>
      <c r="N393" s="6">
        <v>45721</v>
      </c>
      <c r="O393" s="5">
        <v>7</v>
      </c>
      <c r="P393" s="8" t="str">
        <f>IF(AND(L393&gt;0,O393&gt;0),(O393-L393)/L393,"")</f>
        <v/>
      </c>
      <c r="Q393" s="9"/>
      <c r="R393" s="9">
        <v>1</v>
      </c>
      <c r="S393" s="10">
        <f>IF(N393&gt;0,TODAY()-N393,"")</f>
        <v>390</v>
      </c>
    </row>
    <row r="394" ht="17" customHeight="1" spans="1:19" x14ac:dyDescent="0.25">
      <c r="A394" s="11" t="s">
        <v>20</v>
      </c>
      <c r="B394" s="11" t="s">
        <v>430</v>
      </c>
      <c r="C394" s="11" t="s">
        <v>808</v>
      </c>
      <c r="D394" s="11" t="s">
        <v>809</v>
      </c>
      <c r="E394" s="12">
        <v>300</v>
      </c>
      <c r="F394" s="13">
        <v>6.5389</v>
      </c>
      <c r="G394" s="14">
        <v>45687</v>
      </c>
      <c r="H394" s="13">
        <v>5</v>
      </c>
      <c r="I394" s="15" t="s">
        <v>60</v>
      </c>
      <c r="J394" s="13">
        <v>5.42</v>
      </c>
      <c r="K394" s="17">
        <f>IF(AND(H394&gt;0,J394&gt;0),(J394-H394)/H394,"")</f>
        <v>0.08399999999999999</v>
      </c>
      <c r="L394" s="13"/>
      <c r="M394" s="16" t="str">
        <f>IF(AND(J394&gt;0,L394&gt;0),(L394-J394)/J394,IF(AND(H394&gt;0,L394&gt;0),(L394-H394)/H394,""))</f>
        <v/>
      </c>
      <c r="N394" s="14">
        <v>45979</v>
      </c>
      <c r="O394" s="13">
        <v>5.42</v>
      </c>
      <c r="P394" s="16" t="str">
        <f>IF(AND(L394&gt;0,O394&gt;0),(O394-L394)/L394,"")</f>
        <v/>
      </c>
      <c r="Q394" s="18">
        <v>97</v>
      </c>
      <c r="R394" s="18">
        <v>4</v>
      </c>
      <c r="S394" s="21">
        <f>IF(N394&gt;0,TODAY()-N394,"")</f>
        <v>132</v>
      </c>
    </row>
    <row r="395" ht="17" customHeight="1" spans="1:19" x14ac:dyDescent="0.25">
      <c r="A395" s="3" t="s">
        <v>20</v>
      </c>
      <c r="B395" s="3" t="s">
        <v>430</v>
      </c>
      <c r="C395" s="3" t="s">
        <v>810</v>
      </c>
      <c r="D395" s="3" t="s">
        <v>811</v>
      </c>
      <c r="E395" s="4">
        <v>1</v>
      </c>
      <c r="F395" s="5">
        <v>11869.16</v>
      </c>
      <c r="G395" s="6">
        <v>45887</v>
      </c>
      <c r="H395" s="5">
        <v>11869.16</v>
      </c>
      <c r="I395" s="7" t="s">
        <v>24</v>
      </c>
      <c r="J395" s="5"/>
      <c r="K395" s="8" t="str">
        <f>IF(AND(H395&gt;0,J395&gt;0),(J395-H395)/H395,"")</f>
        <v/>
      </c>
      <c r="L395" s="5"/>
      <c r="M395" s="8" t="str">
        <f>IF(AND(J395&gt;0,L395&gt;0),(L395-J395)/J395,IF(AND(H395&gt;0,L395&gt;0),(L395-H395)/H395,""))</f>
        <v/>
      </c>
      <c r="N395" s="6">
        <v>45887</v>
      </c>
      <c r="O395" s="5">
        <v>11869.16</v>
      </c>
      <c r="P395" s="8" t="str">
        <f>IF(AND(L395&gt;0,O395&gt;0),(O395-L395)/L395,"")</f>
        <v/>
      </c>
      <c r="Q395" s="9"/>
      <c r="R395" s="9">
        <v>1</v>
      </c>
      <c r="S395" s="10">
        <f>IF(N395&gt;0,TODAY()-N395,"")</f>
        <v>224</v>
      </c>
    </row>
    <row r="396" ht="17" customHeight="1" spans="1:19" x14ac:dyDescent="0.25">
      <c r="A396" s="11" t="s">
        <v>20</v>
      </c>
      <c r="B396" s="11" t="s">
        <v>430</v>
      </c>
      <c r="C396" s="11" t="s">
        <v>812</v>
      </c>
      <c r="D396" s="11" t="s">
        <v>813</v>
      </c>
      <c r="E396" s="12">
        <v>60</v>
      </c>
      <c r="F396" s="13">
        <v>587.5</v>
      </c>
      <c r="G396" s="14">
        <v>45775</v>
      </c>
      <c r="H396" s="13">
        <v>550</v>
      </c>
      <c r="I396" s="15" t="s">
        <v>24</v>
      </c>
      <c r="J396" s="13"/>
      <c r="K396" s="16" t="str">
        <f>IF(AND(H396&gt;0,J396&gt;0),(J396-H396)/H396,"")</f>
        <v/>
      </c>
      <c r="L396" s="13">
        <v>625</v>
      </c>
      <c r="M396" s="20">
        <f>IF(AND(J396&gt;0,L396&gt;0),(L396-J396)/J396,IF(AND(H396&gt;0,L396&gt;0),(L396-H396)/H396,""))</f>
        <v>0.13636363636363635</v>
      </c>
      <c r="N396" s="14">
        <v>46048</v>
      </c>
      <c r="O396" s="13">
        <v>625</v>
      </c>
      <c r="P396" s="16" t="str">
        <f>IF(AND(L396&gt;0,O396&gt;0),(O396-L396)/L396,"")</f>
        <v/>
      </c>
      <c r="Q396" s="18">
        <v>273</v>
      </c>
      <c r="R396" s="18">
        <v>2</v>
      </c>
      <c r="S396" s="19">
        <f>IF(N396&gt;0,TODAY()-N396,"")</f>
        <v>63</v>
      </c>
    </row>
    <row r="397" ht="17" customHeight="1" spans="1:19" x14ac:dyDescent="0.25">
      <c r="A397" s="3" t="s">
        <v>20</v>
      </c>
      <c r="B397" s="3" t="s">
        <v>430</v>
      </c>
      <c r="C397" s="3" t="s">
        <v>814</v>
      </c>
      <c r="D397" s="3" t="s">
        <v>815</v>
      </c>
      <c r="E397" s="4">
        <v>200</v>
      </c>
      <c r="F397" s="5">
        <v>1.2</v>
      </c>
      <c r="G397" s="6">
        <v>46038</v>
      </c>
      <c r="H397" s="5">
        <v>1.2</v>
      </c>
      <c r="I397" s="7" t="s">
        <v>24</v>
      </c>
      <c r="J397" s="5"/>
      <c r="K397" s="8" t="str">
        <f>IF(AND(H397&gt;0,J397&gt;0),(J397-H397)/H397,"")</f>
        <v/>
      </c>
      <c r="L397" s="5">
        <v>1.2</v>
      </c>
      <c r="M397" s="24">
        <f>IF(AND(J397&gt;0,L397&gt;0),(L397-J397)/J397,IF(AND(H397&gt;0,L397&gt;0),(L397-H397)/H397,""))</f>
        <v>0</v>
      </c>
      <c r="N397" s="6">
        <v>46038</v>
      </c>
      <c r="O397" s="5">
        <v>1.2</v>
      </c>
      <c r="P397" s="8" t="str">
        <f>IF(AND(L397&gt;0,O397&gt;0),(O397-L397)/L397,"")</f>
        <v/>
      </c>
      <c r="Q397" s="9"/>
      <c r="R397" s="9">
        <v>1</v>
      </c>
      <c r="S397" s="19">
        <f>IF(N397&gt;0,TODAY()-N397,"")</f>
        <v>73</v>
      </c>
    </row>
    <row r="398" ht="17" customHeight="1" spans="1:19" x14ac:dyDescent="0.25">
      <c r="A398" s="11" t="s">
        <v>20</v>
      </c>
      <c r="B398" s="11" t="s">
        <v>430</v>
      </c>
      <c r="C398" s="11" t="s">
        <v>816</v>
      </c>
      <c r="D398" s="11" t="s">
        <v>817</v>
      </c>
      <c r="E398" s="12">
        <v>140</v>
      </c>
      <c r="F398" s="13">
        <v>166.07142857142858</v>
      </c>
      <c r="G398" s="14">
        <v>45713</v>
      </c>
      <c r="H398" s="13">
        <v>150</v>
      </c>
      <c r="I398" s="15" t="s">
        <v>24</v>
      </c>
      <c r="J398" s="13"/>
      <c r="K398" s="16" t="str">
        <f>IF(AND(H398&gt;0,J398&gt;0),(J398-H398)/H398,"")</f>
        <v/>
      </c>
      <c r="L398" s="13">
        <v>225</v>
      </c>
      <c r="M398" s="23">
        <f>IF(AND(J398&gt;0,L398&gt;0),(L398-J398)/J398,IF(AND(H398&gt;0,L398&gt;0),(L398-H398)/H398,""))</f>
        <v>0.5</v>
      </c>
      <c r="N398" s="14">
        <v>46048</v>
      </c>
      <c r="O398" s="13">
        <v>225</v>
      </c>
      <c r="P398" s="16" t="str">
        <f>IF(AND(L398&gt;0,O398&gt;0),(O398-L398)/L398,"")</f>
        <v/>
      </c>
      <c r="Q398" s="18">
        <v>112</v>
      </c>
      <c r="R398" s="18">
        <v>4</v>
      </c>
      <c r="S398" s="19">
        <f>IF(N398&gt;0,TODAY()-N398,"")</f>
        <v>63</v>
      </c>
    </row>
    <row r="399" ht="17" customHeight="1" spans="1:19" x14ac:dyDescent="0.25">
      <c r="A399" s="3" t="s">
        <v>20</v>
      </c>
      <c r="B399" s="3" t="s">
        <v>430</v>
      </c>
      <c r="C399" s="3" t="s">
        <v>818</v>
      </c>
      <c r="D399" s="3" t="s">
        <v>819</v>
      </c>
      <c r="E399" s="4">
        <v>1000</v>
      </c>
      <c r="F399" s="5">
        <v>0.6</v>
      </c>
      <c r="G399" s="6">
        <v>45750</v>
      </c>
      <c r="H399" s="5">
        <v>0.6</v>
      </c>
      <c r="I399" s="7" t="s">
        <v>24</v>
      </c>
      <c r="J399" s="5"/>
      <c r="K399" s="8" t="str">
        <f>IF(AND(H399&gt;0,J399&gt;0),(J399-H399)/H399,"")</f>
        <v/>
      </c>
      <c r="L399" s="5"/>
      <c r="M399" s="8" t="str">
        <f>IF(AND(J399&gt;0,L399&gt;0),(L399-J399)/J399,IF(AND(H399&gt;0,L399&gt;0),(L399-H399)/H399,""))</f>
        <v/>
      </c>
      <c r="N399" s="6">
        <v>45750</v>
      </c>
      <c r="O399" s="5">
        <v>0.6</v>
      </c>
      <c r="P399" s="8" t="str">
        <f>IF(AND(L399&gt;0,O399&gt;0),(O399-L399)/L399,"")</f>
        <v/>
      </c>
      <c r="Q399" s="9"/>
      <c r="R399" s="9">
        <v>1</v>
      </c>
      <c r="S399" s="10">
        <f>IF(N399&gt;0,TODAY()-N399,"")</f>
        <v>361</v>
      </c>
    </row>
    <row r="400" ht="17" customHeight="1" spans="1:19" x14ac:dyDescent="0.25">
      <c r="A400" s="11" t="s">
        <v>20</v>
      </c>
      <c r="B400" s="11" t="s">
        <v>430</v>
      </c>
      <c r="C400" s="11" t="s">
        <v>820</v>
      </c>
      <c r="D400" s="11" t="s">
        <v>821</v>
      </c>
      <c r="E400" s="12">
        <v>2850</v>
      </c>
      <c r="F400" s="13">
        <v>3.8771929824561404</v>
      </c>
      <c r="G400" s="14">
        <v>45749</v>
      </c>
      <c r="H400" s="13">
        <v>3.3</v>
      </c>
      <c r="I400" s="15" t="s">
        <v>24</v>
      </c>
      <c r="J400" s="13"/>
      <c r="K400" s="16" t="str">
        <f>IF(AND(H400&gt;0,J400&gt;0),(J400-H400)/H400,"")</f>
        <v/>
      </c>
      <c r="L400" s="13">
        <v>4</v>
      </c>
      <c r="M400" s="20">
        <f>IF(AND(J400&gt;0,L400&gt;0),(L400-J400)/J400,IF(AND(H400&gt;0,L400&gt;0),(L400-H400)/H400,""))</f>
        <v>0.21212121212121218</v>
      </c>
      <c r="N400" s="14">
        <v>46078</v>
      </c>
      <c r="O400" s="13">
        <v>4</v>
      </c>
      <c r="P400" s="17">
        <f>IF(AND(L400&gt;0,O400&gt;0),(O400-L400)/L400,"")</f>
        <v>0</v>
      </c>
      <c r="Q400" s="18">
        <v>66</v>
      </c>
      <c r="R400" s="18">
        <v>6</v>
      </c>
      <c r="S400" s="18">
        <f>IF(N400&gt;0,TODAY()-N400,"")</f>
        <v>33</v>
      </c>
    </row>
    <row r="401" ht="17" customHeight="1" spans="1:19" x14ac:dyDescent="0.25">
      <c r="A401" s="3" t="s">
        <v>20</v>
      </c>
      <c r="B401" s="3" t="s">
        <v>430</v>
      </c>
      <c r="C401" s="3" t="s">
        <v>822</v>
      </c>
      <c r="D401" s="3" t="s">
        <v>823</v>
      </c>
      <c r="E401" s="4">
        <v>200</v>
      </c>
      <c r="F401" s="5">
        <v>4.3579</v>
      </c>
      <c r="G401" s="6">
        <v>46107</v>
      </c>
      <c r="H401" s="5">
        <v>4.36</v>
      </c>
      <c r="I401" s="7" t="s">
        <v>24</v>
      </c>
      <c r="J401" s="5"/>
      <c r="K401" s="8" t="str">
        <f>IF(AND(H401&gt;0,J401&gt;0),(J401-H401)/H401,"")</f>
        <v/>
      </c>
      <c r="L401" s="5"/>
      <c r="M401" s="8" t="str">
        <f>IF(AND(J401&gt;0,L401&gt;0),(L401-J401)/J401,IF(AND(H401&gt;0,L401&gt;0),(L401-H401)/H401,""))</f>
        <v/>
      </c>
      <c r="N401" s="6">
        <v>46107</v>
      </c>
      <c r="O401" s="5">
        <v>4.36</v>
      </c>
      <c r="P401" s="24">
        <f>IF(AND(L401&gt;0,O401&gt;0),(O401-L401)/L401,"")</f>
        <v>0</v>
      </c>
      <c r="Q401" s="9"/>
      <c r="R401" s="9">
        <v>1</v>
      </c>
      <c r="S401" s="9">
        <f>IF(N401&gt;0,TODAY()-N401,"")</f>
        <v>4</v>
      </c>
    </row>
    <row r="402" ht="17" customHeight="1" spans="1:19" x14ac:dyDescent="0.25">
      <c r="A402" s="11" t="s">
        <v>20</v>
      </c>
      <c r="B402" s="11" t="s">
        <v>430</v>
      </c>
      <c r="C402" s="11" t="s">
        <v>824</v>
      </c>
      <c r="D402" s="11" t="s">
        <v>825</v>
      </c>
      <c r="E402" s="12">
        <v>12400</v>
      </c>
      <c r="F402" s="13">
        <v>2.3423387096774193</v>
      </c>
      <c r="G402" s="14">
        <v>45721</v>
      </c>
      <c r="H402" s="13">
        <v>2.5</v>
      </c>
      <c r="I402" s="15" t="s">
        <v>54</v>
      </c>
      <c r="J402" s="13">
        <v>2.29</v>
      </c>
      <c r="K402" s="25">
        <f>IF(AND(H402&gt;0,J402&gt;0),(J402-H402)/H402,"")</f>
        <v>-0.08399999999999999</v>
      </c>
      <c r="L402" s="13">
        <v>2.29</v>
      </c>
      <c r="M402" s="17">
        <f>IF(AND(J402&gt;0,L402&gt;0),(L402-J402)/J402,IF(AND(H402&gt;0,L402&gt;0),(L402-H402)/H402,""))</f>
        <v>0</v>
      </c>
      <c r="N402" s="14">
        <v>46107</v>
      </c>
      <c r="O402" s="13">
        <v>2.92</v>
      </c>
      <c r="P402" s="23">
        <f>IF(AND(L402&gt;0,O402&gt;0),(O402-L402)/L402,"")</f>
        <v>0.27510917030567683</v>
      </c>
      <c r="Q402" s="18">
        <v>30</v>
      </c>
      <c r="R402" s="18">
        <v>14</v>
      </c>
      <c r="S402" s="18">
        <f>IF(N402&gt;0,TODAY()-N402,"")</f>
        <v>4</v>
      </c>
    </row>
    <row r="403" ht="17" customHeight="1" spans="1:19" x14ac:dyDescent="0.25">
      <c r="A403" s="3" t="s">
        <v>20</v>
      </c>
      <c r="B403" s="3" t="s">
        <v>430</v>
      </c>
      <c r="C403" s="3" t="s">
        <v>826</v>
      </c>
      <c r="D403" s="3" t="s">
        <v>827</v>
      </c>
      <c r="E403" s="4">
        <v>3000</v>
      </c>
      <c r="F403" s="5">
        <v>1.0766666666666667</v>
      </c>
      <c r="G403" s="6">
        <v>45769</v>
      </c>
      <c r="H403" s="5">
        <v>1.04</v>
      </c>
      <c r="I403" s="7" t="s">
        <v>24</v>
      </c>
      <c r="J403" s="5"/>
      <c r="K403" s="8" t="str">
        <f>IF(AND(H403&gt;0,J403&gt;0),(J403-H403)/H403,"")</f>
        <v/>
      </c>
      <c r="L403" s="5">
        <v>1.14</v>
      </c>
      <c r="M403" s="24">
        <f>IF(AND(J403&gt;0,L403&gt;0),(L403-J403)/J403,IF(AND(H403&gt;0,L403&gt;0),(L403-H403)/H403,""))</f>
        <v>0.09615384615384602</v>
      </c>
      <c r="N403" s="6">
        <v>46029</v>
      </c>
      <c r="O403" s="5">
        <v>1.14</v>
      </c>
      <c r="P403" s="8" t="str">
        <f>IF(AND(L403&gt;0,O403&gt;0),(O403-L403)/L403,"")</f>
        <v/>
      </c>
      <c r="Q403" s="9">
        <v>260</v>
      </c>
      <c r="R403" s="9">
        <v>2</v>
      </c>
      <c r="S403" s="19">
        <f>IF(N403&gt;0,TODAY()-N403,"")</f>
        <v>82</v>
      </c>
    </row>
    <row r="404" ht="17" customHeight="1" spans="1:19" x14ac:dyDescent="0.25">
      <c r="A404" s="11" t="s">
        <v>20</v>
      </c>
      <c r="B404" s="11" t="s">
        <v>430</v>
      </c>
      <c r="C404" s="11" t="s">
        <v>828</v>
      </c>
      <c r="D404" s="11" t="s">
        <v>829</v>
      </c>
      <c r="E404" s="12">
        <v>5000</v>
      </c>
      <c r="F404" s="13">
        <v>0.624</v>
      </c>
      <c r="G404" s="14">
        <v>45700</v>
      </c>
      <c r="H404" s="13">
        <v>0.51</v>
      </c>
      <c r="I404" s="15" t="s">
        <v>24</v>
      </c>
      <c r="J404" s="13"/>
      <c r="K404" s="16" t="str">
        <f>IF(AND(H404&gt;0,J404&gt;0),(J404-H404)/H404,"")</f>
        <v/>
      </c>
      <c r="L404" s="13"/>
      <c r="M404" s="16" t="str">
        <f>IF(AND(J404&gt;0,L404&gt;0),(L404-J404)/J404,IF(AND(H404&gt;0,L404&gt;0),(L404-H404)/H404,""))</f>
        <v/>
      </c>
      <c r="N404" s="14">
        <v>45911</v>
      </c>
      <c r="O404" s="13">
        <v>0.7</v>
      </c>
      <c r="P404" s="16" t="str">
        <f>IF(AND(L404&gt;0,O404&gt;0),(O404-L404)/L404,"")</f>
        <v/>
      </c>
      <c r="Q404" s="18">
        <v>211</v>
      </c>
      <c r="R404" s="18">
        <v>2</v>
      </c>
      <c r="S404" s="10">
        <f>IF(N404&gt;0,TODAY()-N404,"")</f>
        <v>200</v>
      </c>
    </row>
    <row r="405" ht="17" customHeight="1" spans="1:19" x14ac:dyDescent="0.25">
      <c r="A405" s="3" t="s">
        <v>20</v>
      </c>
      <c r="B405" s="3" t="s">
        <v>430</v>
      </c>
      <c r="C405" s="3" t="s">
        <v>830</v>
      </c>
      <c r="D405" s="3" t="s">
        <v>831</v>
      </c>
      <c r="E405" s="4">
        <v>4200</v>
      </c>
      <c r="F405" s="5">
        <v>1.0071428571428571</v>
      </c>
      <c r="G405" s="6">
        <v>45911</v>
      </c>
      <c r="H405" s="5">
        <v>1.2</v>
      </c>
      <c r="I405" s="7" t="s">
        <v>24</v>
      </c>
      <c r="J405" s="5"/>
      <c r="K405" s="8" t="str">
        <f>IF(AND(H405&gt;0,J405&gt;0),(J405-H405)/H405,"")</f>
        <v/>
      </c>
      <c r="L405" s="5"/>
      <c r="M405" s="8" t="str">
        <f>IF(AND(J405&gt;0,L405&gt;0),(L405-J405)/J405,IF(AND(H405&gt;0,L405&gt;0),(L405-H405)/H405,""))</f>
        <v/>
      </c>
      <c r="N405" s="6">
        <v>46104</v>
      </c>
      <c r="O405" s="5">
        <v>0.93</v>
      </c>
      <c r="P405" s="26">
        <f>IF(AND(L405&gt;0,O405&gt;0),(O405-L405)/L405,"")</f>
        <v>-0.22499999999999992</v>
      </c>
      <c r="Q405" s="9">
        <v>193</v>
      </c>
      <c r="R405" s="9">
        <v>2</v>
      </c>
      <c r="S405" s="9">
        <f>IF(N405&gt;0,TODAY()-N405,"")</f>
        <v>7</v>
      </c>
    </row>
    <row r="406" ht="17" customHeight="1" spans="1:19" x14ac:dyDescent="0.25">
      <c r="A406" s="11" t="s">
        <v>20</v>
      </c>
      <c r="B406" s="11" t="s">
        <v>430</v>
      </c>
      <c r="C406" s="11" t="s">
        <v>832</v>
      </c>
      <c r="D406" s="11" t="s">
        <v>833</v>
      </c>
      <c r="E406" s="12">
        <v>10000</v>
      </c>
      <c r="F406" s="13">
        <v>0.18</v>
      </c>
      <c r="G406" s="14">
        <v>45806</v>
      </c>
      <c r="H406" s="13">
        <v>0.18</v>
      </c>
      <c r="I406" s="15" t="s">
        <v>24</v>
      </c>
      <c r="J406" s="13"/>
      <c r="K406" s="16" t="str">
        <f>IF(AND(H406&gt;0,J406&gt;0),(J406-H406)/H406,"")</f>
        <v/>
      </c>
      <c r="L406" s="13"/>
      <c r="M406" s="16" t="str">
        <f>IF(AND(J406&gt;0,L406&gt;0),(L406-J406)/J406,IF(AND(H406&gt;0,L406&gt;0),(L406-H406)/H406,""))</f>
        <v/>
      </c>
      <c r="N406" s="14">
        <v>45806</v>
      </c>
      <c r="O406" s="13">
        <v>0.18</v>
      </c>
      <c r="P406" s="16" t="str">
        <f>IF(AND(L406&gt;0,O406&gt;0),(O406-L406)/L406,"")</f>
        <v/>
      </c>
      <c r="Q406" s="18"/>
      <c r="R406" s="18">
        <v>1</v>
      </c>
      <c r="S406" s="10">
        <f>IF(N406&gt;0,TODAY()-N406,"")</f>
        <v>305</v>
      </c>
    </row>
    <row r="407" ht="17" customHeight="1" spans="1:19" x14ac:dyDescent="0.25">
      <c r="A407" s="3" t="s">
        <v>20</v>
      </c>
      <c r="B407" s="3" t="s">
        <v>430</v>
      </c>
      <c r="C407" s="3" t="s">
        <v>834</v>
      </c>
      <c r="D407" s="3" t="s">
        <v>835</v>
      </c>
      <c r="E407" s="4">
        <v>14000</v>
      </c>
      <c r="F407" s="5">
        <v>0.21278571428571427</v>
      </c>
      <c r="G407" s="6">
        <v>45840</v>
      </c>
      <c r="H407" s="5">
        <v>0.23</v>
      </c>
      <c r="I407" s="7" t="s">
        <v>54</v>
      </c>
      <c r="J407" s="5">
        <v>0.2</v>
      </c>
      <c r="K407" s="26">
        <f>IF(AND(H407&gt;0,J407&gt;0),(J407-H407)/H407,"")</f>
        <v>-0.13043478260869565</v>
      </c>
      <c r="L407" s="5"/>
      <c r="M407" s="8" t="str">
        <f>IF(AND(J407&gt;0,L407&gt;0),(L407-J407)/J407,IF(AND(H407&gt;0,L407&gt;0),(L407-H407)/H407,""))</f>
        <v/>
      </c>
      <c r="N407" s="6">
        <v>46059</v>
      </c>
      <c r="O407" s="5">
        <v>0.21</v>
      </c>
      <c r="P407" s="24">
        <f>IF(AND(L407&gt;0,O407&gt;0),(O407-L407)/L407,"")</f>
        <v>0.049999999999999906</v>
      </c>
      <c r="Q407" s="9">
        <v>110</v>
      </c>
      <c r="R407" s="9">
        <v>3</v>
      </c>
      <c r="S407" s="9">
        <f>IF(N407&gt;0,TODAY()-N407,"")</f>
        <v>52</v>
      </c>
    </row>
    <row r="408" ht="17" customHeight="1" spans="1:19" x14ac:dyDescent="0.25">
      <c r="A408" s="11" t="s">
        <v>20</v>
      </c>
      <c r="B408" s="11" t="s">
        <v>430</v>
      </c>
      <c r="C408" s="11" t="s">
        <v>836</v>
      </c>
      <c r="D408" s="11" t="s">
        <v>837</v>
      </c>
      <c r="E408" s="12">
        <v>31000</v>
      </c>
      <c r="F408" s="13">
        <v>0.2451074193548387</v>
      </c>
      <c r="G408" s="14">
        <v>45729</v>
      </c>
      <c r="H408" s="13">
        <v>0.24</v>
      </c>
      <c r="I408" s="15" t="s">
        <v>57</v>
      </c>
      <c r="J408" s="13">
        <v>0.25</v>
      </c>
      <c r="K408" s="17">
        <f>IF(AND(H408&gt;0,J408&gt;0),(J408-H408)/H408,"")</f>
        <v>0.041666666666666706</v>
      </c>
      <c r="L408" s="13"/>
      <c r="M408" s="16" t="str">
        <f>IF(AND(J408&gt;0,L408&gt;0),(L408-J408)/J408,IF(AND(H408&gt;0,L408&gt;0),(L408-H408)/H408,""))</f>
        <v/>
      </c>
      <c r="N408" s="14">
        <v>46097</v>
      </c>
      <c r="O408" s="13">
        <v>0.24</v>
      </c>
      <c r="P408" s="25">
        <f>IF(AND(L408&gt;0,O408&gt;0),(O408-L408)/L408,"")</f>
        <v>-0.040000000000000036</v>
      </c>
      <c r="Q408" s="18">
        <v>53</v>
      </c>
      <c r="R408" s="18">
        <v>8</v>
      </c>
      <c r="S408" s="18">
        <f>IF(N408&gt;0,TODAY()-N408,"")</f>
        <v>14</v>
      </c>
    </row>
    <row r="409" ht="17" customHeight="1" spans="1:19" x14ac:dyDescent="0.25">
      <c r="A409" s="3" t="s">
        <v>20</v>
      </c>
      <c r="B409" s="3" t="s">
        <v>430</v>
      </c>
      <c r="C409" s="3" t="s">
        <v>838</v>
      </c>
      <c r="D409" s="3" t="s">
        <v>839</v>
      </c>
      <c r="E409" s="4">
        <v>16000</v>
      </c>
      <c r="F409" s="5">
        <v>0.3023125</v>
      </c>
      <c r="G409" s="6">
        <v>45806</v>
      </c>
      <c r="H409" s="5">
        <v>0.3</v>
      </c>
      <c r="I409" s="7" t="s">
        <v>54</v>
      </c>
      <c r="J409" s="5">
        <v>0.28</v>
      </c>
      <c r="K409" s="26">
        <f>IF(AND(H409&gt;0,J409&gt;0),(J409-H409)/H409,"")</f>
        <v>-0.06666666666666654</v>
      </c>
      <c r="L409" s="5"/>
      <c r="M409" s="8" t="str">
        <f>IF(AND(J409&gt;0,L409&gt;0),(L409-J409)/J409,IF(AND(H409&gt;0,L409&gt;0),(L409-H409)/H409,""))</f>
        <v/>
      </c>
      <c r="N409" s="6">
        <v>46059</v>
      </c>
      <c r="O409" s="5">
        <v>0.3</v>
      </c>
      <c r="P409" s="24">
        <f>IF(AND(L409&gt;0,O409&gt;0),(O409-L409)/L409,"")</f>
        <v>0.07142857142857129</v>
      </c>
      <c r="Q409" s="9">
        <v>63</v>
      </c>
      <c r="R409" s="9">
        <v>5</v>
      </c>
      <c r="S409" s="9">
        <f>IF(N409&gt;0,TODAY()-N409,"")</f>
        <v>52</v>
      </c>
    </row>
    <row r="410" ht="17" customHeight="1" spans="1:19" x14ac:dyDescent="0.25">
      <c r="A410" s="11" t="s">
        <v>20</v>
      </c>
      <c r="B410" s="11" t="s">
        <v>430</v>
      </c>
      <c r="C410" s="11" t="s">
        <v>840</v>
      </c>
      <c r="D410" s="11" t="s">
        <v>841</v>
      </c>
      <c r="E410" s="12">
        <v>500</v>
      </c>
      <c r="F410" s="13">
        <v>0.35</v>
      </c>
      <c r="G410" s="14">
        <v>46008</v>
      </c>
      <c r="H410" s="13">
        <v>0.35</v>
      </c>
      <c r="I410" s="15" t="s">
        <v>54</v>
      </c>
      <c r="J410" s="13">
        <v>0.35</v>
      </c>
      <c r="K410" s="17">
        <f>IF(AND(H410&gt;0,J410&gt;0),(J410-H410)/H410,"")</f>
        <v>0</v>
      </c>
      <c r="L410" s="13"/>
      <c r="M410" s="16" t="str">
        <f>IF(AND(J410&gt;0,L410&gt;0),(L410-J410)/J410,IF(AND(H410&gt;0,L410&gt;0),(L410-H410)/H410,""))</f>
        <v/>
      </c>
      <c r="N410" s="14">
        <v>46008</v>
      </c>
      <c r="O410" s="13">
        <v>0.35</v>
      </c>
      <c r="P410" s="16" t="str">
        <f>IF(AND(L410&gt;0,O410&gt;0),(O410-L410)/L410,"")</f>
        <v/>
      </c>
      <c r="Q410" s="18"/>
      <c r="R410" s="18">
        <v>1</v>
      </c>
      <c r="S410" s="21">
        <f>IF(N410&gt;0,TODAY()-N410,"")</f>
        <v>103</v>
      </c>
    </row>
    <row r="411" ht="17" customHeight="1" spans="1:19" x14ac:dyDescent="0.25">
      <c r="A411" s="3" t="s">
        <v>20</v>
      </c>
      <c r="B411" s="3" t="s">
        <v>430</v>
      </c>
      <c r="C411" s="3" t="s">
        <v>842</v>
      </c>
      <c r="D411" s="3" t="s">
        <v>843</v>
      </c>
      <c r="E411" s="4">
        <v>3100</v>
      </c>
      <c r="F411" s="5">
        <v>0.7903225806451613</v>
      </c>
      <c r="G411" s="6">
        <v>45776</v>
      </c>
      <c r="H411" s="5">
        <v>0.75</v>
      </c>
      <c r="I411" s="7" t="s">
        <v>57</v>
      </c>
      <c r="J411" s="5">
        <v>0.8</v>
      </c>
      <c r="K411" s="24">
        <f>IF(AND(H411&gt;0,J411&gt;0),(J411-H411)/H411,"")</f>
        <v>0.06666666666666672</v>
      </c>
      <c r="L411" s="5"/>
      <c r="M411" s="8" t="str">
        <f>IF(AND(J411&gt;0,L411&gt;0),(L411-J411)/J411,IF(AND(H411&gt;0,L411&gt;0),(L411-H411)/H411,""))</f>
        <v/>
      </c>
      <c r="N411" s="6">
        <v>45947</v>
      </c>
      <c r="O411" s="5">
        <v>0.8</v>
      </c>
      <c r="P411" s="8" t="str">
        <f>IF(AND(L411&gt;0,O411&gt;0),(O411-L411)/L411,"")</f>
        <v/>
      </c>
      <c r="Q411" s="9">
        <v>86</v>
      </c>
      <c r="R411" s="9">
        <v>3</v>
      </c>
      <c r="S411" s="21">
        <f>IF(N411&gt;0,TODAY()-N411,"")</f>
        <v>164</v>
      </c>
    </row>
    <row r="412" ht="17" customHeight="1" spans="1:19" x14ac:dyDescent="0.25">
      <c r="A412" s="11" t="s">
        <v>20</v>
      </c>
      <c r="B412" s="11" t="s">
        <v>430</v>
      </c>
      <c r="C412" s="11" t="s">
        <v>844</v>
      </c>
      <c r="D412" s="11" t="s">
        <v>845</v>
      </c>
      <c r="E412" s="12">
        <v>3000</v>
      </c>
      <c r="F412" s="13">
        <v>0.5333333333333333</v>
      </c>
      <c r="G412" s="14">
        <v>45840</v>
      </c>
      <c r="H412" s="13">
        <v>0.5</v>
      </c>
      <c r="I412" s="15" t="s">
        <v>57</v>
      </c>
      <c r="J412" s="13">
        <v>0.6</v>
      </c>
      <c r="K412" s="20">
        <f>IF(AND(H412&gt;0,J412&gt;0),(J412-H412)/H412,"")</f>
        <v>0.19999999999999996</v>
      </c>
      <c r="L412" s="13"/>
      <c r="M412" s="16" t="str">
        <f>IF(AND(J412&gt;0,L412&gt;0),(L412-J412)/J412,IF(AND(H412&gt;0,L412&gt;0),(L412-H412)/H412,""))</f>
        <v/>
      </c>
      <c r="N412" s="14">
        <v>45947</v>
      </c>
      <c r="O412" s="13">
        <v>0.6</v>
      </c>
      <c r="P412" s="16" t="str">
        <f>IF(AND(L412&gt;0,O412&gt;0),(O412-L412)/L412,"")</f>
        <v/>
      </c>
      <c r="Q412" s="18">
        <v>107</v>
      </c>
      <c r="R412" s="18">
        <v>2</v>
      </c>
      <c r="S412" s="21">
        <f>IF(N412&gt;0,TODAY()-N412,"")</f>
        <v>164</v>
      </c>
    </row>
    <row r="413" ht="17" customHeight="1" spans="1:19" x14ac:dyDescent="0.25">
      <c r="A413" s="3" t="s">
        <v>20</v>
      </c>
      <c r="B413" s="3" t="s">
        <v>430</v>
      </c>
      <c r="C413" s="3" t="s">
        <v>846</v>
      </c>
      <c r="D413" s="3" t="s">
        <v>847</v>
      </c>
      <c r="E413" s="4">
        <v>900</v>
      </c>
      <c r="F413" s="5">
        <v>0.6044444444444445</v>
      </c>
      <c r="G413" s="6">
        <v>45769</v>
      </c>
      <c r="H413" s="5">
        <v>0.56</v>
      </c>
      <c r="I413" s="7" t="s">
        <v>24</v>
      </c>
      <c r="J413" s="5"/>
      <c r="K413" s="8" t="str">
        <f>IF(AND(H413&gt;0,J413&gt;0),(J413-H413)/H413,"")</f>
        <v/>
      </c>
      <c r="L413" s="5"/>
      <c r="M413" s="8" t="str">
        <f>IF(AND(J413&gt;0,L413&gt;0),(L413-J413)/J413,IF(AND(H413&gt;0,L413&gt;0),(L413-H413)/H413,""))</f>
        <v/>
      </c>
      <c r="N413" s="6">
        <v>45898</v>
      </c>
      <c r="O413" s="5">
        <v>0.64</v>
      </c>
      <c r="P413" s="8" t="str">
        <f>IF(AND(L413&gt;0,O413&gt;0),(O413-L413)/L413,"")</f>
        <v/>
      </c>
      <c r="Q413" s="9">
        <v>129</v>
      </c>
      <c r="R413" s="9">
        <v>2</v>
      </c>
      <c r="S413" s="10">
        <f>IF(N413&gt;0,TODAY()-N413,"")</f>
        <v>213</v>
      </c>
    </row>
    <row r="414" ht="17" customHeight="1" spans="1:19" x14ac:dyDescent="0.25">
      <c r="A414" s="11" t="s">
        <v>20</v>
      </c>
      <c r="B414" s="11" t="s">
        <v>430</v>
      </c>
      <c r="C414" s="11" t="s">
        <v>848</v>
      </c>
      <c r="D414" s="11" t="s">
        <v>849</v>
      </c>
      <c r="E414" s="12">
        <v>50</v>
      </c>
      <c r="F414" s="13">
        <v>1.33</v>
      </c>
      <c r="G414" s="14">
        <v>46017</v>
      </c>
      <c r="H414" s="13">
        <v>1.33</v>
      </c>
      <c r="I414" s="15" t="s">
        <v>54</v>
      </c>
      <c r="J414" s="13">
        <v>1.33</v>
      </c>
      <c r="K414" s="17">
        <f>IF(AND(H414&gt;0,J414&gt;0),(J414-H414)/H414,"")</f>
        <v>0</v>
      </c>
      <c r="L414" s="13"/>
      <c r="M414" s="16" t="str">
        <f>IF(AND(J414&gt;0,L414&gt;0),(L414-J414)/J414,IF(AND(H414&gt;0,L414&gt;0),(L414-H414)/H414,""))</f>
        <v/>
      </c>
      <c r="N414" s="14">
        <v>46017</v>
      </c>
      <c r="O414" s="13">
        <v>1.33</v>
      </c>
      <c r="P414" s="16" t="str">
        <f>IF(AND(L414&gt;0,O414&gt;0),(O414-L414)/L414,"")</f>
        <v/>
      </c>
      <c r="Q414" s="18"/>
      <c r="R414" s="18">
        <v>1</v>
      </c>
      <c r="S414" s="21">
        <f>IF(N414&gt;0,TODAY()-N414,"")</f>
        <v>94</v>
      </c>
    </row>
    <row r="415" ht="17" customHeight="1" spans="1:19" x14ac:dyDescent="0.25">
      <c r="A415" s="3" t="s">
        <v>20</v>
      </c>
      <c r="B415" s="3" t="s">
        <v>430</v>
      </c>
      <c r="C415" s="3" t="s">
        <v>850</v>
      </c>
      <c r="D415" s="3" t="s">
        <v>851</v>
      </c>
      <c r="E415" s="4">
        <v>600</v>
      </c>
      <c r="F415" s="5">
        <v>0.7</v>
      </c>
      <c r="G415" s="6">
        <v>45888</v>
      </c>
      <c r="H415" s="5">
        <v>0.7</v>
      </c>
      <c r="I415" s="7" t="s">
        <v>24</v>
      </c>
      <c r="J415" s="5"/>
      <c r="K415" s="8" t="str">
        <f>IF(AND(H415&gt;0,J415&gt;0),(J415-H415)/H415,"")</f>
        <v/>
      </c>
      <c r="L415" s="5"/>
      <c r="M415" s="8" t="str">
        <f>IF(AND(J415&gt;0,L415&gt;0),(L415-J415)/J415,IF(AND(H415&gt;0,L415&gt;0),(L415-H415)/H415,""))</f>
        <v/>
      </c>
      <c r="N415" s="6">
        <v>45888</v>
      </c>
      <c r="O415" s="5">
        <v>0.7</v>
      </c>
      <c r="P415" s="8" t="str">
        <f>IF(AND(L415&gt;0,O415&gt;0),(O415-L415)/L415,"")</f>
        <v/>
      </c>
      <c r="Q415" s="9"/>
      <c r="R415" s="9">
        <v>1</v>
      </c>
      <c r="S415" s="10">
        <f>IF(N415&gt;0,TODAY()-N415,"")</f>
        <v>223</v>
      </c>
    </row>
    <row r="416" ht="17" customHeight="1" spans="1:19" x14ac:dyDescent="0.25">
      <c r="A416" s="11" t="s">
        <v>20</v>
      </c>
      <c r="B416" s="11" t="s">
        <v>430</v>
      </c>
      <c r="C416" s="11" t="s">
        <v>852</v>
      </c>
      <c r="D416" s="11" t="s">
        <v>853</v>
      </c>
      <c r="E416" s="12">
        <v>12</v>
      </c>
      <c r="F416" s="13">
        <v>145.83083333333335</v>
      </c>
      <c r="G416" s="14">
        <v>45971</v>
      </c>
      <c r="H416" s="13">
        <v>145.83</v>
      </c>
      <c r="I416" s="15" t="s">
        <v>54</v>
      </c>
      <c r="J416" s="13">
        <v>145.83</v>
      </c>
      <c r="K416" s="17">
        <f>IF(AND(H416&gt;0,J416&gt;0),(J416-H416)/H416,"")</f>
        <v>0</v>
      </c>
      <c r="L416" s="13"/>
      <c r="M416" s="16" t="str">
        <f>IF(AND(J416&gt;0,L416&gt;0),(L416-J416)/J416,IF(AND(H416&gt;0,L416&gt;0),(L416-H416)/H416,""))</f>
        <v/>
      </c>
      <c r="N416" s="14">
        <v>46059</v>
      </c>
      <c r="O416" s="13">
        <v>145.83</v>
      </c>
      <c r="P416" s="17">
        <f>IF(AND(L416&gt;0,O416&gt;0),(O416-L416)/L416,"")</f>
        <v>0</v>
      </c>
      <c r="Q416" s="18">
        <v>44</v>
      </c>
      <c r="R416" s="18">
        <v>3</v>
      </c>
      <c r="S416" s="18">
        <f>IF(N416&gt;0,TODAY()-N416,"")</f>
        <v>52</v>
      </c>
    </row>
    <row r="417" ht="17" customHeight="1" spans="1:19" x14ac:dyDescent="0.25">
      <c r="A417" s="3" t="s">
        <v>20</v>
      </c>
      <c r="B417" s="3" t="s">
        <v>430</v>
      </c>
      <c r="C417" s="3" t="s">
        <v>854</v>
      </c>
      <c r="D417" s="3" t="s">
        <v>855</v>
      </c>
      <c r="E417" s="4">
        <v>1400</v>
      </c>
      <c r="F417" s="5">
        <v>5.035714285714286</v>
      </c>
      <c r="G417" s="6">
        <v>45708</v>
      </c>
      <c r="H417" s="5">
        <v>3.5</v>
      </c>
      <c r="I417" s="7" t="s">
        <v>60</v>
      </c>
      <c r="J417" s="5">
        <v>6</v>
      </c>
      <c r="K417" s="23">
        <f>IF(AND(H417&gt;0,J417&gt;0),(J417-H417)/H417,"")</f>
        <v>0.7142857142857143</v>
      </c>
      <c r="L417" s="5"/>
      <c r="M417" s="8" t="str">
        <f>IF(AND(J417&gt;0,L417&gt;0),(L417-J417)/J417,IF(AND(H417&gt;0,L417&gt;0),(L417-H417)/H417,""))</f>
        <v/>
      </c>
      <c r="N417" s="6">
        <v>46078</v>
      </c>
      <c r="O417" s="5">
        <v>6.5</v>
      </c>
      <c r="P417" s="24">
        <f>IF(AND(L417&gt;0,O417&gt;0),(O417-L417)/L417,"")</f>
        <v>0.08333333333333331</v>
      </c>
      <c r="Q417" s="9">
        <v>93</v>
      </c>
      <c r="R417" s="9">
        <v>5</v>
      </c>
      <c r="S417" s="9">
        <f>IF(N417&gt;0,TODAY()-N417,"")</f>
        <v>33</v>
      </c>
    </row>
    <row r="418" ht="17" customHeight="1" spans="1:19" x14ac:dyDescent="0.25">
      <c r="A418" s="11" t="s">
        <v>20</v>
      </c>
      <c r="B418" s="11" t="s">
        <v>430</v>
      </c>
      <c r="C418" s="11" t="s">
        <v>856</v>
      </c>
      <c r="D418" s="11" t="s">
        <v>857</v>
      </c>
      <c r="E418" s="12">
        <v>1</v>
      </c>
      <c r="F418" s="13">
        <v>445.83</v>
      </c>
      <c r="G418" s="14">
        <v>45994</v>
      </c>
      <c r="H418" s="13">
        <v>445.83</v>
      </c>
      <c r="I418" s="15" t="s">
        <v>54</v>
      </c>
      <c r="J418" s="13">
        <v>445.83</v>
      </c>
      <c r="K418" s="17">
        <f>IF(AND(H418&gt;0,J418&gt;0),(J418-H418)/H418,"")</f>
        <v>0</v>
      </c>
      <c r="L418" s="13"/>
      <c r="M418" s="16" t="str">
        <f>IF(AND(J418&gt;0,L418&gt;0),(L418-J418)/J418,IF(AND(H418&gt;0,L418&gt;0),(L418-H418)/H418,""))</f>
        <v/>
      </c>
      <c r="N418" s="14">
        <v>45994</v>
      </c>
      <c r="O418" s="13">
        <v>445.83</v>
      </c>
      <c r="P418" s="16" t="str">
        <f>IF(AND(L418&gt;0,O418&gt;0),(O418-L418)/L418,"")</f>
        <v/>
      </c>
      <c r="Q418" s="18"/>
      <c r="R418" s="18">
        <v>1</v>
      </c>
      <c r="S418" s="21">
        <f>IF(N418&gt;0,TODAY()-N418,"")</f>
        <v>117</v>
      </c>
    </row>
    <row r="419" ht="17" customHeight="1" spans="1:19" x14ac:dyDescent="0.25">
      <c r="A419" s="3" t="s">
        <v>20</v>
      </c>
      <c r="B419" s="3" t="s">
        <v>430</v>
      </c>
      <c r="C419" s="3" t="s">
        <v>858</v>
      </c>
      <c r="D419" s="3" t="s">
        <v>859</v>
      </c>
      <c r="E419" s="4">
        <v>50</v>
      </c>
      <c r="F419" s="5">
        <v>39.3594</v>
      </c>
      <c r="G419" s="6">
        <v>45729</v>
      </c>
      <c r="H419" s="5">
        <v>35</v>
      </c>
      <c r="I419" s="7" t="s">
        <v>24</v>
      </c>
      <c r="J419" s="5"/>
      <c r="K419" s="8" t="str">
        <f>IF(AND(H419&gt;0,J419&gt;0),(J419-H419)/H419,"")</f>
        <v/>
      </c>
      <c r="L419" s="5"/>
      <c r="M419" s="8" t="str">
        <f>IF(AND(J419&gt;0,L419&gt;0),(L419-J419)/J419,IF(AND(H419&gt;0,L419&gt;0),(L419-H419)/H419,""))</f>
        <v/>
      </c>
      <c r="N419" s="6">
        <v>45840</v>
      </c>
      <c r="O419" s="5">
        <v>38</v>
      </c>
      <c r="P419" s="8" t="str">
        <f>IF(AND(L419&gt;0,O419&gt;0),(O419-L419)/L419,"")</f>
        <v/>
      </c>
      <c r="Q419" s="9">
        <v>28</v>
      </c>
      <c r="R419" s="9">
        <v>5</v>
      </c>
      <c r="S419" s="10">
        <f>IF(N419&gt;0,TODAY()-N419,"")</f>
        <v>271</v>
      </c>
    </row>
    <row r="420" ht="17" customHeight="1" spans="1:19" x14ac:dyDescent="0.25">
      <c r="A420" s="11" t="s">
        <v>20</v>
      </c>
      <c r="B420" s="11" t="s">
        <v>430</v>
      </c>
      <c r="C420" s="11" t="s">
        <v>860</v>
      </c>
      <c r="D420" s="11" t="s">
        <v>861</v>
      </c>
      <c r="E420" s="12">
        <v>30</v>
      </c>
      <c r="F420" s="13">
        <v>126.83333333333333</v>
      </c>
      <c r="G420" s="14">
        <v>45687</v>
      </c>
      <c r="H420" s="13">
        <v>110</v>
      </c>
      <c r="I420" s="15" t="s">
        <v>24</v>
      </c>
      <c r="J420" s="13"/>
      <c r="K420" s="16" t="str">
        <f>IF(AND(H420&gt;0,J420&gt;0),(J420-H420)/H420,"")</f>
        <v/>
      </c>
      <c r="L420" s="13">
        <v>175</v>
      </c>
      <c r="M420" s="23">
        <f>IF(AND(J420&gt;0,L420&gt;0),(L420-J420)/J420,IF(AND(H420&gt;0,L420&gt;0),(L420-H420)/H420,""))</f>
        <v>0.5909090909090909</v>
      </c>
      <c r="N420" s="14">
        <v>46038</v>
      </c>
      <c r="O420" s="13">
        <v>175</v>
      </c>
      <c r="P420" s="16" t="str">
        <f>IF(AND(L420&gt;0,O420&gt;0),(O420-L420)/L420,"")</f>
        <v/>
      </c>
      <c r="Q420" s="18">
        <v>70</v>
      </c>
      <c r="R420" s="18">
        <v>6</v>
      </c>
      <c r="S420" s="19">
        <f>IF(N420&gt;0,TODAY()-N420,"")</f>
        <v>73</v>
      </c>
    </row>
    <row r="421" ht="17" customHeight="1" spans="1:19" x14ac:dyDescent="0.25">
      <c r="A421" s="3" t="s">
        <v>20</v>
      </c>
      <c r="B421" s="3" t="s">
        <v>430</v>
      </c>
      <c r="C421" s="3" t="s">
        <v>862</v>
      </c>
      <c r="D421" s="3" t="s">
        <v>863</v>
      </c>
      <c r="E421" s="4">
        <v>15</v>
      </c>
      <c r="F421" s="5">
        <v>229.16666666666666</v>
      </c>
      <c r="G421" s="6">
        <v>45714</v>
      </c>
      <c r="H421" s="5">
        <v>229.17</v>
      </c>
      <c r="I421" s="7" t="s">
        <v>24</v>
      </c>
      <c r="J421" s="5"/>
      <c r="K421" s="8" t="str">
        <f>IF(AND(H421&gt;0,J421&gt;0),(J421-H421)/H421,"")</f>
        <v/>
      </c>
      <c r="L421" s="5"/>
      <c r="M421" s="8" t="str">
        <f>IF(AND(J421&gt;0,L421&gt;0),(L421-J421)/J421,IF(AND(H421&gt;0,L421&gt;0),(L421-H421)/H421,""))</f>
        <v/>
      </c>
      <c r="N421" s="6">
        <v>45714</v>
      </c>
      <c r="O421" s="5">
        <v>229.17</v>
      </c>
      <c r="P421" s="8" t="str">
        <f>IF(AND(L421&gt;0,O421&gt;0),(O421-L421)/L421,"")</f>
        <v/>
      </c>
      <c r="Q421" s="9"/>
      <c r="R421" s="9">
        <v>1</v>
      </c>
      <c r="S421" s="10">
        <f>IF(N421&gt;0,TODAY()-N421,"")</f>
        <v>397</v>
      </c>
    </row>
    <row r="422" ht="17" customHeight="1" spans="1:19" x14ac:dyDescent="0.25">
      <c r="A422" s="11" t="s">
        <v>20</v>
      </c>
      <c r="B422" s="11" t="s">
        <v>430</v>
      </c>
      <c r="C422" s="11" t="s">
        <v>864</v>
      </c>
      <c r="D422" s="11" t="s">
        <v>865</v>
      </c>
      <c r="E422" s="12">
        <v>25</v>
      </c>
      <c r="F422" s="13">
        <v>166.6668</v>
      </c>
      <c r="G422" s="14">
        <v>45714</v>
      </c>
      <c r="H422" s="13">
        <v>166.67</v>
      </c>
      <c r="I422" s="15" t="s">
        <v>24</v>
      </c>
      <c r="J422" s="13"/>
      <c r="K422" s="16" t="str">
        <f>IF(AND(H422&gt;0,J422&gt;0),(J422-H422)/H422,"")</f>
        <v/>
      </c>
      <c r="L422" s="13"/>
      <c r="M422" s="16" t="str">
        <f>IF(AND(J422&gt;0,L422&gt;0),(L422-J422)/J422,IF(AND(H422&gt;0,L422&gt;0),(L422-H422)/H422,""))</f>
        <v/>
      </c>
      <c r="N422" s="14">
        <v>45714</v>
      </c>
      <c r="O422" s="13">
        <v>166.67</v>
      </c>
      <c r="P422" s="16" t="str">
        <f>IF(AND(L422&gt;0,O422&gt;0),(O422-L422)/L422,"")</f>
        <v/>
      </c>
      <c r="Q422" s="18"/>
      <c r="R422" s="18">
        <v>1</v>
      </c>
      <c r="S422" s="10">
        <f>IF(N422&gt;0,TODAY()-N422,"")</f>
        <v>397</v>
      </c>
    </row>
    <row r="423" ht="17" customHeight="1" spans="1:19" x14ac:dyDescent="0.25">
      <c r="A423" s="3" t="s">
        <v>20</v>
      </c>
      <c r="B423" s="3" t="s">
        <v>430</v>
      </c>
      <c r="C423" s="3" t="s">
        <v>866</v>
      </c>
      <c r="D423" s="3" t="s">
        <v>867</v>
      </c>
      <c r="E423" s="4">
        <v>15</v>
      </c>
      <c r="F423" s="5">
        <v>229.16666666666666</v>
      </c>
      <c r="G423" s="6">
        <v>45714</v>
      </c>
      <c r="H423" s="5">
        <v>229.17</v>
      </c>
      <c r="I423" s="7" t="s">
        <v>24</v>
      </c>
      <c r="J423" s="5"/>
      <c r="K423" s="8" t="str">
        <f>IF(AND(H423&gt;0,J423&gt;0),(J423-H423)/H423,"")</f>
        <v/>
      </c>
      <c r="L423" s="5"/>
      <c r="M423" s="8" t="str">
        <f>IF(AND(J423&gt;0,L423&gt;0),(L423-J423)/J423,IF(AND(H423&gt;0,L423&gt;0),(L423-H423)/H423,""))</f>
        <v/>
      </c>
      <c r="N423" s="6">
        <v>45714</v>
      </c>
      <c r="O423" s="5">
        <v>229.17</v>
      </c>
      <c r="P423" s="8" t="str">
        <f>IF(AND(L423&gt;0,O423&gt;0),(O423-L423)/L423,"")</f>
        <v/>
      </c>
      <c r="Q423" s="9"/>
      <c r="R423" s="9">
        <v>1</v>
      </c>
      <c r="S423" s="10">
        <f>IF(N423&gt;0,TODAY()-N423,"")</f>
        <v>397</v>
      </c>
    </row>
    <row r="424" ht="17" customHeight="1" spans="1:19" x14ac:dyDescent="0.25">
      <c r="A424" s="11" t="s">
        <v>20</v>
      </c>
      <c r="B424" s="11" t="s">
        <v>430</v>
      </c>
      <c r="C424" s="11" t="s">
        <v>868</v>
      </c>
      <c r="D424" s="11" t="s">
        <v>869</v>
      </c>
      <c r="E424" s="12">
        <v>15</v>
      </c>
      <c r="F424" s="13">
        <v>229.16666666666666</v>
      </c>
      <c r="G424" s="14">
        <v>45714</v>
      </c>
      <c r="H424" s="13">
        <v>229.17</v>
      </c>
      <c r="I424" s="15" t="s">
        <v>24</v>
      </c>
      <c r="J424" s="13"/>
      <c r="K424" s="16" t="str">
        <f>IF(AND(H424&gt;0,J424&gt;0),(J424-H424)/H424,"")</f>
        <v/>
      </c>
      <c r="L424" s="13"/>
      <c r="M424" s="16" t="str">
        <f>IF(AND(J424&gt;0,L424&gt;0),(L424-J424)/J424,IF(AND(H424&gt;0,L424&gt;0),(L424-H424)/H424,""))</f>
        <v/>
      </c>
      <c r="N424" s="14">
        <v>45714</v>
      </c>
      <c r="O424" s="13">
        <v>229.17</v>
      </c>
      <c r="P424" s="16" t="str">
        <f>IF(AND(L424&gt;0,O424&gt;0),(O424-L424)/L424,"")</f>
        <v/>
      </c>
      <c r="Q424" s="18"/>
      <c r="R424" s="18">
        <v>1</v>
      </c>
      <c r="S424" s="10">
        <f>IF(N424&gt;0,TODAY()-N424,"")</f>
        <v>397</v>
      </c>
    </row>
    <row r="425" ht="17" customHeight="1" spans="1:19" x14ac:dyDescent="0.25">
      <c r="A425" s="3" t="s">
        <v>20</v>
      </c>
      <c r="B425" s="3" t="s">
        <v>430</v>
      </c>
      <c r="C425" s="3" t="s">
        <v>870</v>
      </c>
      <c r="D425" s="3" t="s">
        <v>871</v>
      </c>
      <c r="E425" s="4">
        <v>450</v>
      </c>
      <c r="F425" s="5">
        <v>9.222222222222221</v>
      </c>
      <c r="G425" s="6">
        <v>45671</v>
      </c>
      <c r="H425" s="5">
        <v>9</v>
      </c>
      <c r="I425" s="7" t="s">
        <v>24</v>
      </c>
      <c r="J425" s="5"/>
      <c r="K425" s="8" t="str">
        <f>IF(AND(H425&gt;0,J425&gt;0),(J425-H425)/H425,"")</f>
        <v/>
      </c>
      <c r="L425" s="5"/>
      <c r="M425" s="8" t="str">
        <f>IF(AND(J425&gt;0,L425&gt;0),(L425-J425)/J425,IF(AND(H425&gt;0,L425&gt;0),(L425-H425)/H425,""))</f>
        <v/>
      </c>
      <c r="N425" s="6">
        <v>45793</v>
      </c>
      <c r="O425" s="5">
        <v>10</v>
      </c>
      <c r="P425" s="8" t="str">
        <f>IF(AND(L425&gt;0,O425&gt;0),(O425-L425)/L425,"")</f>
        <v/>
      </c>
      <c r="Q425" s="9">
        <v>41</v>
      </c>
      <c r="R425" s="9">
        <v>4</v>
      </c>
      <c r="S425" s="10">
        <f>IF(N425&gt;0,TODAY()-N425,"")</f>
        <v>318</v>
      </c>
    </row>
    <row r="426" ht="17" customHeight="1" spans="1:19" x14ac:dyDescent="0.25">
      <c r="A426" s="11" t="s">
        <v>20</v>
      </c>
      <c r="B426" s="11" t="s">
        <v>430</v>
      </c>
      <c r="C426" s="11" t="s">
        <v>872</v>
      </c>
      <c r="D426" s="11" t="s">
        <v>873</v>
      </c>
      <c r="E426" s="12">
        <v>1900</v>
      </c>
      <c r="F426" s="13">
        <v>9.631578947368421</v>
      </c>
      <c r="G426" s="14">
        <v>45713</v>
      </c>
      <c r="H426" s="13">
        <v>9</v>
      </c>
      <c r="I426" s="15" t="s">
        <v>54</v>
      </c>
      <c r="J426" s="13">
        <v>10</v>
      </c>
      <c r="K426" s="20">
        <f>IF(AND(H426&gt;0,J426&gt;0),(J426-H426)/H426,"")</f>
        <v>0.1111111111111111</v>
      </c>
      <c r="L426" s="13">
        <v>12</v>
      </c>
      <c r="M426" s="20">
        <f>IF(AND(J426&gt;0,L426&gt;0),(L426-J426)/J426,IF(AND(H426&gt;0,L426&gt;0),(L426-H426)/H426,""))</f>
        <v>0.2</v>
      </c>
      <c r="N426" s="14">
        <v>46029</v>
      </c>
      <c r="O426" s="13">
        <v>12</v>
      </c>
      <c r="P426" s="16" t="str">
        <f>IF(AND(L426&gt;0,O426&gt;0),(O426-L426)/L426,"")</f>
        <v/>
      </c>
      <c r="Q426" s="18">
        <v>53</v>
      </c>
      <c r="R426" s="18">
        <v>7</v>
      </c>
      <c r="S426" s="19">
        <f>IF(N426&gt;0,TODAY()-N426,"")</f>
        <v>82</v>
      </c>
    </row>
    <row r="427" ht="17" customHeight="1" spans="1:19" x14ac:dyDescent="0.25">
      <c r="A427" s="3" t="s">
        <v>20</v>
      </c>
      <c r="B427" s="3" t="s">
        <v>430</v>
      </c>
      <c r="C427" s="3" t="s">
        <v>874</v>
      </c>
      <c r="D427" s="3" t="s">
        <v>875</v>
      </c>
      <c r="E427" s="4">
        <v>300</v>
      </c>
      <c r="F427" s="5">
        <v>10</v>
      </c>
      <c r="G427" s="6">
        <v>45793</v>
      </c>
      <c r="H427" s="5">
        <v>10</v>
      </c>
      <c r="I427" s="7" t="s">
        <v>24</v>
      </c>
      <c r="J427" s="5"/>
      <c r="K427" s="8" t="str">
        <f>IF(AND(H427&gt;0,J427&gt;0),(J427-H427)/H427,"")</f>
        <v/>
      </c>
      <c r="L427" s="5"/>
      <c r="M427" s="8" t="str">
        <f>IF(AND(J427&gt;0,L427&gt;0),(L427-J427)/J427,IF(AND(H427&gt;0,L427&gt;0),(L427-H427)/H427,""))</f>
        <v/>
      </c>
      <c r="N427" s="6">
        <v>45793</v>
      </c>
      <c r="O427" s="5">
        <v>10</v>
      </c>
      <c r="P427" s="8" t="str">
        <f>IF(AND(L427&gt;0,O427&gt;0),(O427-L427)/L427,"")</f>
        <v/>
      </c>
      <c r="Q427" s="9"/>
      <c r="R427" s="9">
        <v>1</v>
      </c>
      <c r="S427" s="10">
        <f>IF(N427&gt;0,TODAY()-N427,"")</f>
        <v>318</v>
      </c>
    </row>
    <row r="428" ht="17" customHeight="1" spans="1:19" x14ac:dyDescent="0.25">
      <c r="A428" s="11" t="s">
        <v>20</v>
      </c>
      <c r="B428" s="11" t="s">
        <v>430</v>
      </c>
      <c r="C428" s="11" t="s">
        <v>876</v>
      </c>
      <c r="D428" s="11" t="s">
        <v>877</v>
      </c>
      <c r="E428" s="12">
        <v>2100</v>
      </c>
      <c r="F428" s="13">
        <v>10.630952380952381</v>
      </c>
      <c r="G428" s="14">
        <v>45687</v>
      </c>
      <c r="H428" s="13">
        <v>9</v>
      </c>
      <c r="I428" s="15" t="s">
        <v>57</v>
      </c>
      <c r="J428" s="13">
        <v>10</v>
      </c>
      <c r="K428" s="20">
        <f>IF(AND(H428&gt;0,J428&gt;0),(J428-H428)/H428,"")</f>
        <v>0.1111111111111111</v>
      </c>
      <c r="L428" s="13">
        <v>12</v>
      </c>
      <c r="M428" s="20">
        <f>IF(AND(J428&gt;0,L428&gt;0),(L428-J428)/J428,IF(AND(H428&gt;0,L428&gt;0),(L428-H428)/H428,""))</f>
        <v>0.2</v>
      </c>
      <c r="N428" s="14">
        <v>46097</v>
      </c>
      <c r="O428" s="13">
        <v>13.75</v>
      </c>
      <c r="P428" s="20">
        <f>IF(AND(L428&gt;0,O428&gt;0),(O428-L428)/L428,"")</f>
        <v>0.14583333333333334</v>
      </c>
      <c r="Q428" s="18">
        <v>59</v>
      </c>
      <c r="R428" s="18">
        <v>8</v>
      </c>
      <c r="S428" s="18">
        <f>IF(N428&gt;0,TODAY()-N428,"")</f>
        <v>14</v>
      </c>
    </row>
    <row r="429" ht="17" customHeight="1" spans="1:19" x14ac:dyDescent="0.25">
      <c r="A429" s="3" t="s">
        <v>20</v>
      </c>
      <c r="B429" s="3" t="s">
        <v>430</v>
      </c>
      <c r="C429" s="3" t="s">
        <v>878</v>
      </c>
      <c r="D429" s="3" t="s">
        <v>879</v>
      </c>
      <c r="E429" s="4">
        <v>1400</v>
      </c>
      <c r="F429" s="5">
        <v>9.642857142857142</v>
      </c>
      <c r="G429" s="6">
        <v>45671</v>
      </c>
      <c r="H429" s="5">
        <v>9</v>
      </c>
      <c r="I429" s="7" t="s">
        <v>57</v>
      </c>
      <c r="J429" s="5">
        <v>10</v>
      </c>
      <c r="K429" s="22">
        <f>IF(AND(H429&gt;0,J429&gt;0),(J429-H429)/H429,"")</f>
        <v>0.1111111111111111</v>
      </c>
      <c r="L429" s="5"/>
      <c r="M429" s="8" t="str">
        <f>IF(AND(J429&gt;0,L429&gt;0),(L429-J429)/J429,IF(AND(H429&gt;0,L429&gt;0),(L429-H429)/H429,""))</f>
        <v/>
      </c>
      <c r="N429" s="6">
        <v>45938</v>
      </c>
      <c r="O429" s="5">
        <v>10</v>
      </c>
      <c r="P429" s="8" t="str">
        <f>IF(AND(L429&gt;0,O429&gt;0),(O429-L429)/L429,"")</f>
        <v/>
      </c>
      <c r="Q429" s="9">
        <v>67</v>
      </c>
      <c r="R429" s="9">
        <v>5</v>
      </c>
      <c r="S429" s="21">
        <f>IF(N429&gt;0,TODAY()-N429,"")</f>
        <v>173</v>
      </c>
    </row>
    <row r="430" ht="17" customHeight="1" spans="1:19" x14ac:dyDescent="0.25">
      <c r="A430" s="11" t="s">
        <v>20</v>
      </c>
      <c r="B430" s="11" t="s">
        <v>430</v>
      </c>
      <c r="C430" s="11" t="s">
        <v>880</v>
      </c>
      <c r="D430" s="11" t="s">
        <v>881</v>
      </c>
      <c r="E430" s="12">
        <v>900</v>
      </c>
      <c r="F430" s="13">
        <v>9.666666666666666</v>
      </c>
      <c r="G430" s="14">
        <v>45721</v>
      </c>
      <c r="H430" s="13">
        <v>9</v>
      </c>
      <c r="I430" s="15" t="s">
        <v>54</v>
      </c>
      <c r="J430" s="13">
        <v>10</v>
      </c>
      <c r="K430" s="20">
        <f>IF(AND(H430&gt;0,J430&gt;0),(J430-H430)/H430,"")</f>
        <v>0.1111111111111111</v>
      </c>
      <c r="L430" s="13"/>
      <c r="M430" s="16" t="str">
        <f>IF(AND(J430&gt;0,L430&gt;0),(L430-J430)/J430,IF(AND(H430&gt;0,L430&gt;0),(L430-H430)/H430,""))</f>
        <v/>
      </c>
      <c r="N430" s="14">
        <v>45994</v>
      </c>
      <c r="O430" s="13">
        <v>10</v>
      </c>
      <c r="P430" s="16" t="str">
        <f>IF(AND(L430&gt;0,O430&gt;0),(O430-L430)/L430,"")</f>
        <v/>
      </c>
      <c r="Q430" s="18">
        <v>137</v>
      </c>
      <c r="R430" s="18">
        <v>3</v>
      </c>
      <c r="S430" s="21">
        <f>IF(N430&gt;0,TODAY()-N430,"")</f>
        <v>117</v>
      </c>
    </row>
    <row r="431" ht="17" customHeight="1" spans="1:19" x14ac:dyDescent="0.25">
      <c r="A431" s="3" t="s">
        <v>20</v>
      </c>
      <c r="B431" s="3" t="s">
        <v>430</v>
      </c>
      <c r="C431" s="3" t="s">
        <v>882</v>
      </c>
      <c r="D431" s="3" t="s">
        <v>883</v>
      </c>
      <c r="E431" s="4">
        <v>200</v>
      </c>
      <c r="F431" s="5">
        <v>13.5</v>
      </c>
      <c r="G431" s="6">
        <v>46048</v>
      </c>
      <c r="H431" s="5">
        <v>12</v>
      </c>
      <c r="I431" s="7" t="s">
        <v>24</v>
      </c>
      <c r="J431" s="5"/>
      <c r="K431" s="8" t="str">
        <f>IF(AND(H431&gt;0,J431&gt;0),(J431-H431)/H431,"")</f>
        <v/>
      </c>
      <c r="L431" s="5">
        <v>12</v>
      </c>
      <c r="M431" s="24">
        <f>IF(AND(J431&gt;0,L431&gt;0),(L431-J431)/J431,IF(AND(H431&gt;0,L431&gt;0),(L431-H431)/H431,""))</f>
        <v>0</v>
      </c>
      <c r="N431" s="6">
        <v>46078</v>
      </c>
      <c r="O431" s="5">
        <v>15</v>
      </c>
      <c r="P431" s="23">
        <f>IF(AND(L431&gt;0,O431&gt;0),(O431-L431)/L431,"")</f>
        <v>0.25</v>
      </c>
      <c r="Q431" s="9">
        <v>30</v>
      </c>
      <c r="R431" s="9">
        <v>2</v>
      </c>
      <c r="S431" s="9">
        <f>IF(N431&gt;0,TODAY()-N431,"")</f>
        <v>33</v>
      </c>
    </row>
    <row r="432" ht="17" customHeight="1" spans="1:19" x14ac:dyDescent="0.25">
      <c r="A432" s="11" t="s">
        <v>20</v>
      </c>
      <c r="B432" s="11" t="s">
        <v>430</v>
      </c>
      <c r="C432" s="11" t="s">
        <v>884</v>
      </c>
      <c r="D432" s="11" t="s">
        <v>885</v>
      </c>
      <c r="E432" s="12">
        <v>500</v>
      </c>
      <c r="F432" s="13">
        <v>9.4</v>
      </c>
      <c r="G432" s="14">
        <v>45721</v>
      </c>
      <c r="H432" s="13">
        <v>9</v>
      </c>
      <c r="I432" s="15" t="s">
        <v>24</v>
      </c>
      <c r="J432" s="13"/>
      <c r="K432" s="16" t="str">
        <f>IF(AND(H432&gt;0,J432&gt;0),(J432-H432)/H432,"")</f>
        <v/>
      </c>
      <c r="L432" s="13"/>
      <c r="M432" s="16" t="str">
        <f>IF(AND(J432&gt;0,L432&gt;0),(L432-J432)/J432,IF(AND(H432&gt;0,L432&gt;0),(L432-H432)/H432,""))</f>
        <v/>
      </c>
      <c r="N432" s="14">
        <v>45793</v>
      </c>
      <c r="O432" s="13">
        <v>10</v>
      </c>
      <c r="P432" s="16" t="str">
        <f>IF(AND(L432&gt;0,O432&gt;0),(O432-L432)/L432,"")</f>
        <v/>
      </c>
      <c r="Q432" s="18">
        <v>72</v>
      </c>
      <c r="R432" s="18">
        <v>2</v>
      </c>
      <c r="S432" s="10">
        <f>IF(N432&gt;0,TODAY()-N432,"")</f>
        <v>318</v>
      </c>
    </row>
    <row r="433" ht="17" customHeight="1" spans="1:19" x14ac:dyDescent="0.25">
      <c r="A433" s="3" t="s">
        <v>20</v>
      </c>
      <c r="B433" s="3" t="s">
        <v>430</v>
      </c>
      <c r="C433" s="3" t="s">
        <v>886</v>
      </c>
      <c r="D433" s="3" t="s">
        <v>887</v>
      </c>
      <c r="E433" s="4">
        <v>700</v>
      </c>
      <c r="F433" s="5">
        <v>9.857142857142858</v>
      </c>
      <c r="G433" s="6">
        <v>45671</v>
      </c>
      <c r="H433" s="5">
        <v>9</v>
      </c>
      <c r="I433" s="7" t="s">
        <v>24</v>
      </c>
      <c r="J433" s="5"/>
      <c r="K433" s="8" t="str">
        <f>IF(AND(H433&gt;0,J433&gt;0),(J433-H433)/H433,"")</f>
        <v/>
      </c>
      <c r="L433" s="5"/>
      <c r="M433" s="8" t="str">
        <f>IF(AND(J433&gt;0,L433&gt;0),(L433-J433)/J433,IF(AND(H433&gt;0,L433&gt;0),(L433-H433)/H433,""))</f>
        <v/>
      </c>
      <c r="N433" s="6">
        <v>45793</v>
      </c>
      <c r="O433" s="5">
        <v>10</v>
      </c>
      <c r="P433" s="8" t="str">
        <f>IF(AND(L433&gt;0,O433&gt;0),(O433-L433)/L433,"")</f>
        <v/>
      </c>
      <c r="Q433" s="9">
        <v>61</v>
      </c>
      <c r="R433" s="9">
        <v>3</v>
      </c>
      <c r="S433" s="10">
        <f>IF(N433&gt;0,TODAY()-N433,"")</f>
        <v>318</v>
      </c>
    </row>
    <row r="434" ht="17" customHeight="1" spans="1:19" x14ac:dyDescent="0.25">
      <c r="A434" s="11" t="s">
        <v>20</v>
      </c>
      <c r="B434" s="11" t="s">
        <v>430</v>
      </c>
      <c r="C434" s="11" t="s">
        <v>888</v>
      </c>
      <c r="D434" s="11" t="s">
        <v>889</v>
      </c>
      <c r="E434" s="12">
        <v>700</v>
      </c>
      <c r="F434" s="13">
        <v>9.714285714285714</v>
      </c>
      <c r="G434" s="14">
        <v>45721</v>
      </c>
      <c r="H434" s="13">
        <v>9</v>
      </c>
      <c r="I434" s="15" t="s">
        <v>24</v>
      </c>
      <c r="J434" s="13"/>
      <c r="K434" s="16" t="str">
        <f>IF(AND(H434&gt;0,J434&gt;0),(J434-H434)/H434,"")</f>
        <v/>
      </c>
      <c r="L434" s="13"/>
      <c r="M434" s="16" t="str">
        <f>IF(AND(J434&gt;0,L434&gt;0),(L434-J434)/J434,IF(AND(H434&gt;0,L434&gt;0),(L434-H434)/H434,""))</f>
        <v/>
      </c>
      <c r="N434" s="14">
        <v>45793</v>
      </c>
      <c r="O434" s="13">
        <v>10</v>
      </c>
      <c r="P434" s="16" t="str">
        <f>IF(AND(L434&gt;0,O434&gt;0),(O434-L434)/L434,"")</f>
        <v/>
      </c>
      <c r="Q434" s="18">
        <v>72</v>
      </c>
      <c r="R434" s="18">
        <v>2</v>
      </c>
      <c r="S434" s="10">
        <f>IF(N434&gt;0,TODAY()-N434,"")</f>
        <v>318</v>
      </c>
    </row>
    <row r="435" ht="17" customHeight="1" spans="1:19" x14ac:dyDescent="0.25">
      <c r="A435" s="3" t="s">
        <v>20</v>
      </c>
      <c r="B435" s="3" t="s">
        <v>430</v>
      </c>
      <c r="C435" s="3" t="s">
        <v>890</v>
      </c>
      <c r="D435" s="3" t="s">
        <v>891</v>
      </c>
      <c r="E435" s="4">
        <v>2400</v>
      </c>
      <c r="F435" s="5">
        <v>10.25</v>
      </c>
      <c r="G435" s="6">
        <v>45671</v>
      </c>
      <c r="H435" s="5">
        <v>9</v>
      </c>
      <c r="I435" s="7" t="s">
        <v>57</v>
      </c>
      <c r="J435" s="5">
        <v>10</v>
      </c>
      <c r="K435" s="22">
        <f>IF(AND(H435&gt;0,J435&gt;0),(J435-H435)/H435,"")</f>
        <v>0.1111111111111111</v>
      </c>
      <c r="L435" s="5">
        <v>12</v>
      </c>
      <c r="M435" s="22">
        <f>IF(AND(J435&gt;0,L435&gt;0),(L435-J435)/J435,IF(AND(H435&gt;0,L435&gt;0),(L435-H435)/H435,""))</f>
        <v>0.2</v>
      </c>
      <c r="N435" s="6">
        <v>46078</v>
      </c>
      <c r="O435" s="5">
        <v>12</v>
      </c>
      <c r="P435" s="24">
        <f>IF(AND(L435&gt;0,O435&gt;0),(O435-L435)/L435,"")</f>
        <v>0</v>
      </c>
      <c r="Q435" s="9">
        <v>45</v>
      </c>
      <c r="R435" s="9">
        <v>10</v>
      </c>
      <c r="S435" s="9">
        <f>IF(N435&gt;0,TODAY()-N435,"")</f>
        <v>33</v>
      </c>
    </row>
    <row r="436" ht="17" customHeight="1" spans="1:19" x14ac:dyDescent="0.25">
      <c r="A436" s="11" t="s">
        <v>20</v>
      </c>
      <c r="B436" s="11" t="s">
        <v>430</v>
      </c>
      <c r="C436" s="11" t="s">
        <v>892</v>
      </c>
      <c r="D436" s="11" t="s">
        <v>893</v>
      </c>
      <c r="E436" s="12">
        <v>400</v>
      </c>
      <c r="F436" s="13">
        <v>9</v>
      </c>
      <c r="G436" s="14">
        <v>45671</v>
      </c>
      <c r="H436" s="13">
        <v>9</v>
      </c>
      <c r="I436" s="15" t="s">
        <v>24</v>
      </c>
      <c r="J436" s="13"/>
      <c r="K436" s="16" t="str">
        <f>IF(AND(H436&gt;0,J436&gt;0),(J436-H436)/H436,"")</f>
        <v/>
      </c>
      <c r="L436" s="13"/>
      <c r="M436" s="16" t="str">
        <f>IF(AND(J436&gt;0,L436&gt;0),(L436-J436)/J436,IF(AND(H436&gt;0,L436&gt;0),(L436-H436)/H436,""))</f>
        <v/>
      </c>
      <c r="N436" s="14">
        <v>45721</v>
      </c>
      <c r="O436" s="13">
        <v>9</v>
      </c>
      <c r="P436" s="16" t="str">
        <f>IF(AND(L436&gt;0,O436&gt;0),(O436-L436)/L436,"")</f>
        <v/>
      </c>
      <c r="Q436" s="18">
        <v>25</v>
      </c>
      <c r="R436" s="18">
        <v>3</v>
      </c>
      <c r="S436" s="10">
        <f>IF(N436&gt;0,TODAY()-N436,"")</f>
        <v>390</v>
      </c>
    </row>
    <row r="437" ht="17" customHeight="1" spans="1:19" x14ac:dyDescent="0.25">
      <c r="A437" s="3" t="s">
        <v>20</v>
      </c>
      <c r="B437" s="3" t="s">
        <v>430</v>
      </c>
      <c r="C437" s="3" t="s">
        <v>894</v>
      </c>
      <c r="D437" s="3" t="s">
        <v>895</v>
      </c>
      <c r="E437" s="4">
        <v>100</v>
      </c>
      <c r="F437" s="5">
        <v>30</v>
      </c>
      <c r="G437" s="6">
        <v>45712</v>
      </c>
      <c r="H437" s="5">
        <v>30</v>
      </c>
      <c r="I437" s="7" t="s">
        <v>24</v>
      </c>
      <c r="J437" s="5"/>
      <c r="K437" s="8" t="str">
        <f>IF(AND(H437&gt;0,J437&gt;0),(J437-H437)/H437,"")</f>
        <v/>
      </c>
      <c r="L437" s="5"/>
      <c r="M437" s="8" t="str">
        <f>IF(AND(J437&gt;0,L437&gt;0),(L437-J437)/J437,IF(AND(H437&gt;0,L437&gt;0),(L437-H437)/H437,""))</f>
        <v/>
      </c>
      <c r="N437" s="6">
        <v>45712</v>
      </c>
      <c r="O437" s="5">
        <v>30</v>
      </c>
      <c r="P437" s="8" t="str">
        <f>IF(AND(L437&gt;0,O437&gt;0),(O437-L437)/L437,"")</f>
        <v/>
      </c>
      <c r="Q437" s="9"/>
      <c r="R437" s="9">
        <v>1</v>
      </c>
      <c r="S437" s="10">
        <f>IF(N437&gt;0,TODAY()-N437,"")</f>
        <v>399</v>
      </c>
    </row>
    <row r="438" ht="17" customHeight="1" spans="1:19" x14ac:dyDescent="0.25">
      <c r="A438" s="11" t="s">
        <v>20</v>
      </c>
      <c r="B438" s="11" t="s">
        <v>430</v>
      </c>
      <c r="C438" s="11" t="s">
        <v>896</v>
      </c>
      <c r="D438" s="11" t="s">
        <v>897</v>
      </c>
      <c r="E438" s="12">
        <v>100</v>
      </c>
      <c r="F438" s="13">
        <v>30</v>
      </c>
      <c r="G438" s="14">
        <v>45712</v>
      </c>
      <c r="H438" s="13">
        <v>30</v>
      </c>
      <c r="I438" s="15" t="s">
        <v>24</v>
      </c>
      <c r="J438" s="13"/>
      <c r="K438" s="16" t="str">
        <f>IF(AND(H438&gt;0,J438&gt;0),(J438-H438)/H438,"")</f>
        <v/>
      </c>
      <c r="L438" s="13"/>
      <c r="M438" s="16" t="str">
        <f>IF(AND(J438&gt;0,L438&gt;0),(L438-J438)/J438,IF(AND(H438&gt;0,L438&gt;0),(L438-H438)/H438,""))</f>
        <v/>
      </c>
      <c r="N438" s="14">
        <v>45712</v>
      </c>
      <c r="O438" s="13">
        <v>30</v>
      </c>
      <c r="P438" s="16" t="str">
        <f>IF(AND(L438&gt;0,O438&gt;0),(O438-L438)/L438,"")</f>
        <v/>
      </c>
      <c r="Q438" s="18"/>
      <c r="R438" s="18">
        <v>1</v>
      </c>
      <c r="S438" s="10">
        <f>IF(N438&gt;0,TODAY()-N438,"")</f>
        <v>399</v>
      </c>
    </row>
    <row r="439" ht="17" customHeight="1" spans="1:19" x14ac:dyDescent="0.25">
      <c r="A439" s="3" t="s">
        <v>20</v>
      </c>
      <c r="B439" s="3" t="s">
        <v>898</v>
      </c>
      <c r="C439" s="3" t="s">
        <v>899</v>
      </c>
      <c r="D439" s="3" t="s">
        <v>900</v>
      </c>
      <c r="E439" s="4">
        <v>8</v>
      </c>
      <c r="F439" s="5">
        <v>950</v>
      </c>
      <c r="G439" s="6">
        <v>45680</v>
      </c>
      <c r="H439" s="5">
        <v>950</v>
      </c>
      <c r="I439" s="7" t="s">
        <v>24</v>
      </c>
      <c r="J439" s="5"/>
      <c r="K439" s="8" t="str">
        <f>IF(AND(H439&gt;0,J439&gt;0),(J439-H439)/H439,"")</f>
        <v/>
      </c>
      <c r="L439" s="5"/>
      <c r="M439" s="8" t="str">
        <f>IF(AND(J439&gt;0,L439&gt;0),(L439-J439)/J439,IF(AND(H439&gt;0,L439&gt;0),(L439-H439)/H439,""))</f>
        <v/>
      </c>
      <c r="N439" s="6">
        <v>45680</v>
      </c>
      <c r="O439" s="5">
        <v>950</v>
      </c>
      <c r="P439" s="8" t="str">
        <f>IF(AND(L439&gt;0,O439&gt;0),(O439-L439)/L439,"")</f>
        <v/>
      </c>
      <c r="Q439" s="9"/>
      <c r="R439" s="9">
        <v>1</v>
      </c>
      <c r="S439" s="10">
        <f>IF(N439&gt;0,TODAY()-N439,"")</f>
        <v>431</v>
      </c>
    </row>
    <row r="440" ht="17" customHeight="1" spans="1:19" x14ac:dyDescent="0.25">
      <c r="A440" s="11" t="s">
        <v>20</v>
      </c>
      <c r="B440" s="11" t="s">
        <v>898</v>
      </c>
      <c r="C440" s="11" t="s">
        <v>901</v>
      </c>
      <c r="D440" s="11" t="s">
        <v>902</v>
      </c>
      <c r="E440" s="12">
        <v>3</v>
      </c>
      <c r="F440" s="13">
        <v>5623.963333333333</v>
      </c>
      <c r="G440" s="14">
        <v>45727</v>
      </c>
      <c r="H440" s="13">
        <v>5334.44</v>
      </c>
      <c r="I440" s="15" t="s">
        <v>24</v>
      </c>
      <c r="J440" s="13"/>
      <c r="K440" s="16" t="str">
        <f>IF(AND(H440&gt;0,J440&gt;0),(J440-H440)/H440,"")</f>
        <v/>
      </c>
      <c r="L440" s="13"/>
      <c r="M440" s="16" t="str">
        <f>IF(AND(J440&gt;0,L440&gt;0),(L440-J440)/J440,IF(AND(H440&gt;0,L440&gt;0),(L440-H440)/H440,""))</f>
        <v/>
      </c>
      <c r="N440" s="14">
        <v>45895</v>
      </c>
      <c r="O440" s="13">
        <v>6203</v>
      </c>
      <c r="P440" s="16" t="str">
        <f>IF(AND(L440&gt;0,O440&gt;0),(O440-L440)/L440,"")</f>
        <v/>
      </c>
      <c r="Q440" s="18">
        <v>168</v>
      </c>
      <c r="R440" s="18">
        <v>2</v>
      </c>
      <c r="S440" s="10">
        <f>IF(N440&gt;0,TODAY()-N440,"")</f>
        <v>216</v>
      </c>
    </row>
    <row r="441" ht="17" customHeight="1" spans="1:19" x14ac:dyDescent="0.25">
      <c r="A441" s="3" t="s">
        <v>20</v>
      </c>
      <c r="B441" s="3" t="s">
        <v>898</v>
      </c>
      <c r="C441" s="3" t="s">
        <v>903</v>
      </c>
      <c r="D441" s="3" t="s">
        <v>904</v>
      </c>
      <c r="E441" s="4">
        <v>2</v>
      </c>
      <c r="F441" s="5">
        <v>4703.335</v>
      </c>
      <c r="G441" s="6">
        <v>45702</v>
      </c>
      <c r="H441" s="5">
        <v>4306.67</v>
      </c>
      <c r="I441" s="7" t="s">
        <v>24</v>
      </c>
      <c r="J441" s="5"/>
      <c r="K441" s="8" t="str">
        <f>IF(AND(H441&gt;0,J441&gt;0),(J441-H441)/H441,"")</f>
        <v/>
      </c>
      <c r="L441" s="5"/>
      <c r="M441" s="8" t="str">
        <f>IF(AND(J441&gt;0,L441&gt;0),(L441-J441)/J441,IF(AND(H441&gt;0,L441&gt;0),(L441-H441)/H441,""))</f>
        <v/>
      </c>
      <c r="N441" s="6">
        <v>45824</v>
      </c>
      <c r="O441" s="5">
        <v>5100</v>
      </c>
      <c r="P441" s="8" t="str">
        <f>IF(AND(L441&gt;0,O441&gt;0),(O441-L441)/L441,"")</f>
        <v/>
      </c>
      <c r="Q441" s="9">
        <v>122</v>
      </c>
      <c r="R441" s="9">
        <v>2</v>
      </c>
      <c r="S441" s="10">
        <f>IF(N441&gt;0,TODAY()-N441,"")</f>
        <v>287</v>
      </c>
    </row>
    <row r="442" ht="17" customHeight="1" spans="1:19" x14ac:dyDescent="0.25">
      <c r="A442" s="11" t="s">
        <v>20</v>
      </c>
      <c r="B442" s="11" t="s">
        <v>898</v>
      </c>
      <c r="C442" s="11" t="s">
        <v>905</v>
      </c>
      <c r="D442" s="11" t="s">
        <v>906</v>
      </c>
      <c r="E442" s="12">
        <v>38</v>
      </c>
      <c r="F442" s="13">
        <v>480.52447368421053</v>
      </c>
      <c r="G442" s="14">
        <v>45849</v>
      </c>
      <c r="H442" s="13">
        <v>457.5</v>
      </c>
      <c r="I442" s="15" t="s">
        <v>60</v>
      </c>
      <c r="J442" s="13">
        <v>499.16</v>
      </c>
      <c r="K442" s="17">
        <f>IF(AND(H442&gt;0,J442&gt;0),(J442-H442)/H442,"")</f>
        <v>0.09106010928961754</v>
      </c>
      <c r="L442" s="13"/>
      <c r="M442" s="16" t="str">
        <f>IF(AND(J442&gt;0,L442&gt;0),(L442-J442)/J442,IF(AND(H442&gt;0,L442&gt;0),(L442-H442)/H442,""))</f>
        <v/>
      </c>
      <c r="N442" s="14">
        <v>46064</v>
      </c>
      <c r="O442" s="13">
        <v>499.17</v>
      </c>
      <c r="P442" s="17">
        <f>IF(AND(L442&gt;0,O442&gt;0),(O442-L442)/L442,"")</f>
        <v>0.000020033656542974005</v>
      </c>
      <c r="Q442" s="18">
        <v>72</v>
      </c>
      <c r="R442" s="18">
        <v>4</v>
      </c>
      <c r="S442" s="18">
        <f>IF(N442&gt;0,TODAY()-N442,"")</f>
        <v>47</v>
      </c>
    </row>
    <row r="443" ht="17" customHeight="1" spans="1:19" x14ac:dyDescent="0.25">
      <c r="A443" s="3" t="s">
        <v>20</v>
      </c>
      <c r="B443" s="3" t="s">
        <v>898</v>
      </c>
      <c r="C443" s="3" t="s">
        <v>907</v>
      </c>
      <c r="D443" s="3" t="s">
        <v>908</v>
      </c>
      <c r="E443" s="4">
        <v>7</v>
      </c>
      <c r="F443" s="5">
        <v>725.3595142857142</v>
      </c>
      <c r="G443" s="6">
        <v>45877</v>
      </c>
      <c r="H443" s="5">
        <v>665.83</v>
      </c>
      <c r="I443" s="7" t="s">
        <v>54</v>
      </c>
      <c r="J443" s="5">
        <v>749.17</v>
      </c>
      <c r="K443" s="22">
        <f>IF(AND(H443&gt;0,J443&gt;0),(J443-H443)/H443,"")</f>
        <v>0.12516708469128743</v>
      </c>
      <c r="L443" s="5"/>
      <c r="M443" s="8" t="str">
        <f>IF(AND(J443&gt;0,L443&gt;0),(L443-J443)/J443,IF(AND(H443&gt;0,L443&gt;0),(L443-H443)/H443,""))</f>
        <v/>
      </c>
      <c r="N443" s="6">
        <v>45994</v>
      </c>
      <c r="O443" s="5">
        <v>749.17</v>
      </c>
      <c r="P443" s="8" t="str">
        <f>IF(AND(L443&gt;0,O443&gt;0),(O443-L443)/L443,"")</f>
        <v/>
      </c>
      <c r="Q443" s="9">
        <v>59</v>
      </c>
      <c r="R443" s="9">
        <v>3</v>
      </c>
      <c r="S443" s="21">
        <f>IF(N443&gt;0,TODAY()-N443,"")</f>
        <v>117</v>
      </c>
    </row>
    <row r="444" ht="17" customHeight="1" spans="1:19" x14ac:dyDescent="0.25">
      <c r="A444" s="11" t="s">
        <v>20</v>
      </c>
      <c r="B444" s="11" t="s">
        <v>898</v>
      </c>
      <c r="C444" s="11" t="s">
        <v>909</v>
      </c>
      <c r="D444" s="11" t="s">
        <v>910</v>
      </c>
      <c r="E444" s="12">
        <v>1</v>
      </c>
      <c r="F444" s="13">
        <v>6611.3</v>
      </c>
      <c r="G444" s="14">
        <v>45734</v>
      </c>
      <c r="H444" s="13">
        <v>6611.3</v>
      </c>
      <c r="I444" s="15" t="s">
        <v>24</v>
      </c>
      <c r="J444" s="13"/>
      <c r="K444" s="16" t="str">
        <f>IF(AND(H444&gt;0,J444&gt;0),(J444-H444)/H444,"")</f>
        <v/>
      </c>
      <c r="L444" s="13"/>
      <c r="M444" s="16" t="str">
        <f>IF(AND(J444&gt;0,L444&gt;0),(L444-J444)/J444,IF(AND(H444&gt;0,L444&gt;0),(L444-H444)/H444,""))</f>
        <v/>
      </c>
      <c r="N444" s="14">
        <v>45734</v>
      </c>
      <c r="O444" s="13">
        <v>6611.3</v>
      </c>
      <c r="P444" s="16" t="str">
        <f>IF(AND(L444&gt;0,O444&gt;0),(O444-L444)/L444,"")</f>
        <v/>
      </c>
      <c r="Q444" s="18"/>
      <c r="R444" s="18">
        <v>1</v>
      </c>
      <c r="S444" s="10">
        <f>IF(N444&gt;0,TODAY()-N444,"")</f>
        <v>377</v>
      </c>
    </row>
    <row r="445" ht="17" customHeight="1" spans="1:19" x14ac:dyDescent="0.25">
      <c r="A445" s="3" t="s">
        <v>20</v>
      </c>
      <c r="B445" s="3" t="s">
        <v>911</v>
      </c>
      <c r="C445" s="3" t="s">
        <v>912</v>
      </c>
      <c r="D445" s="3" t="s">
        <v>913</v>
      </c>
      <c r="E445" s="4">
        <v>1</v>
      </c>
      <c r="F445" s="5">
        <v>1875</v>
      </c>
      <c r="G445" s="6">
        <v>45691</v>
      </c>
      <c r="H445" s="5">
        <v>1875</v>
      </c>
      <c r="I445" s="7" t="s">
        <v>24</v>
      </c>
      <c r="J445" s="5"/>
      <c r="K445" s="8" t="str">
        <f>IF(AND(H445&gt;0,J445&gt;0),(J445-H445)/H445,"")</f>
        <v/>
      </c>
      <c r="L445" s="5"/>
      <c r="M445" s="8" t="str">
        <f>IF(AND(J445&gt;0,L445&gt;0),(L445-J445)/J445,IF(AND(H445&gt;0,L445&gt;0),(L445-H445)/H445,""))</f>
        <v/>
      </c>
      <c r="N445" s="6">
        <v>45691</v>
      </c>
      <c r="O445" s="5">
        <v>1875</v>
      </c>
      <c r="P445" s="8" t="str">
        <f>IF(AND(L445&gt;0,O445&gt;0),(O445-L445)/L445,"")</f>
        <v/>
      </c>
      <c r="Q445" s="9"/>
      <c r="R445" s="9">
        <v>1</v>
      </c>
      <c r="S445" s="10">
        <f>IF(N445&gt;0,TODAY()-N445,"")</f>
        <v>420</v>
      </c>
    </row>
    <row r="446" ht="17" customHeight="1" spans="1:19" x14ac:dyDescent="0.25">
      <c r="A446" s="11" t="s">
        <v>20</v>
      </c>
      <c r="B446" s="11" t="s">
        <v>911</v>
      </c>
      <c r="C446" s="11" t="s">
        <v>914</v>
      </c>
      <c r="D446" s="11" t="s">
        <v>915</v>
      </c>
      <c r="E446" s="12">
        <v>6</v>
      </c>
      <c r="F446" s="13">
        <v>13.520000000000001</v>
      </c>
      <c r="G446" s="14">
        <v>45927</v>
      </c>
      <c r="H446" s="13">
        <v>13.52</v>
      </c>
      <c r="I446" s="15" t="s">
        <v>24</v>
      </c>
      <c r="J446" s="13"/>
      <c r="K446" s="16" t="str">
        <f>IF(AND(H446&gt;0,J446&gt;0),(J446-H446)/H446,"")</f>
        <v/>
      </c>
      <c r="L446" s="13"/>
      <c r="M446" s="16" t="str">
        <f>IF(AND(J446&gt;0,L446&gt;0),(L446-J446)/J446,IF(AND(H446&gt;0,L446&gt;0),(L446-H446)/H446,""))</f>
        <v/>
      </c>
      <c r="N446" s="14">
        <v>45927</v>
      </c>
      <c r="O446" s="13">
        <v>13.52</v>
      </c>
      <c r="P446" s="16" t="str">
        <f>IF(AND(L446&gt;0,O446&gt;0),(O446-L446)/L446,"")</f>
        <v/>
      </c>
      <c r="Q446" s="18"/>
      <c r="R446" s="18">
        <v>1</v>
      </c>
      <c r="S446" s="10">
        <f>IF(N446&gt;0,TODAY()-N446,"")</f>
        <v>184</v>
      </c>
    </row>
    <row r="447" ht="17" customHeight="1" spans="1:19" x14ac:dyDescent="0.25">
      <c r="A447" s="3" t="s">
        <v>20</v>
      </c>
      <c r="B447" s="3" t="s">
        <v>911</v>
      </c>
      <c r="C447" s="3" t="s">
        <v>916</v>
      </c>
      <c r="D447" s="3" t="s">
        <v>917</v>
      </c>
      <c r="E447" s="4">
        <v>32</v>
      </c>
      <c r="F447" s="5">
        <v>914.0625</v>
      </c>
      <c r="G447" s="6">
        <v>45701</v>
      </c>
      <c r="H447" s="5">
        <v>750</v>
      </c>
      <c r="I447" s="7" t="s">
        <v>24</v>
      </c>
      <c r="J447" s="5"/>
      <c r="K447" s="8" t="str">
        <f>IF(AND(H447&gt;0,J447&gt;0),(J447-H447)/H447,"")</f>
        <v/>
      </c>
      <c r="L447" s="5"/>
      <c r="M447" s="8" t="str">
        <f>IF(AND(J447&gt;0,L447&gt;0),(L447-J447)/J447,IF(AND(H447&gt;0,L447&gt;0),(L447-H447)/H447,""))</f>
        <v/>
      </c>
      <c r="N447" s="6">
        <v>45855</v>
      </c>
      <c r="O447" s="5">
        <v>1000</v>
      </c>
      <c r="P447" s="8" t="str">
        <f>IF(AND(L447&gt;0,O447&gt;0),(O447-L447)/L447,"")</f>
        <v/>
      </c>
      <c r="Q447" s="9">
        <v>39</v>
      </c>
      <c r="R447" s="9">
        <v>5</v>
      </c>
      <c r="S447" s="10">
        <f>IF(N447&gt;0,TODAY()-N447,"")</f>
        <v>256</v>
      </c>
    </row>
    <row r="448" ht="17" customHeight="1" spans="1:19" x14ac:dyDescent="0.25">
      <c r="A448" s="11" t="s">
        <v>20</v>
      </c>
      <c r="B448" s="11" t="s">
        <v>911</v>
      </c>
      <c r="C448" s="11" t="s">
        <v>918</v>
      </c>
      <c r="D448" s="11" t="s">
        <v>919</v>
      </c>
      <c r="E448" s="12">
        <v>33</v>
      </c>
      <c r="F448" s="13">
        <v>916.6666666666666</v>
      </c>
      <c r="G448" s="14">
        <v>45698</v>
      </c>
      <c r="H448" s="13">
        <v>750</v>
      </c>
      <c r="I448" s="15" t="s">
        <v>24</v>
      </c>
      <c r="J448" s="13"/>
      <c r="K448" s="16" t="str">
        <f>IF(AND(H448&gt;0,J448&gt;0),(J448-H448)/H448,"")</f>
        <v/>
      </c>
      <c r="L448" s="13"/>
      <c r="M448" s="16" t="str">
        <f>IF(AND(J448&gt;0,L448&gt;0),(L448-J448)/J448,IF(AND(H448&gt;0,L448&gt;0),(L448-H448)/H448,""))</f>
        <v/>
      </c>
      <c r="N448" s="14">
        <v>45824</v>
      </c>
      <c r="O448" s="13">
        <v>1050</v>
      </c>
      <c r="P448" s="16" t="str">
        <f>IF(AND(L448&gt;0,O448&gt;0),(O448-L448)/L448,"")</f>
        <v/>
      </c>
      <c r="Q448" s="18">
        <v>42</v>
      </c>
      <c r="R448" s="18">
        <v>4</v>
      </c>
      <c r="S448" s="10">
        <f>IF(N448&gt;0,TODAY()-N448,"")</f>
        <v>287</v>
      </c>
    </row>
    <row r="449" ht="17" customHeight="1" spans="1:19" x14ac:dyDescent="0.25">
      <c r="A449" s="3" t="s">
        <v>20</v>
      </c>
      <c r="B449" s="3" t="s">
        <v>911</v>
      </c>
      <c r="C449" s="3" t="s">
        <v>920</v>
      </c>
      <c r="D449" s="3" t="s">
        <v>921</v>
      </c>
      <c r="E449" s="4">
        <v>1</v>
      </c>
      <c r="F449" s="5">
        <v>1000</v>
      </c>
      <c r="G449" s="6">
        <v>45981</v>
      </c>
      <c r="H449" s="5">
        <v>1000</v>
      </c>
      <c r="I449" s="7" t="s">
        <v>60</v>
      </c>
      <c r="J449" s="5">
        <v>1000</v>
      </c>
      <c r="K449" s="24">
        <f>IF(AND(H449&gt;0,J449&gt;0),(J449-H449)/H449,"")</f>
        <v>0</v>
      </c>
      <c r="L449" s="5"/>
      <c r="M449" s="8" t="str">
        <f>IF(AND(J449&gt;0,L449&gt;0),(L449-J449)/J449,IF(AND(H449&gt;0,L449&gt;0),(L449-H449)/H449,""))</f>
        <v/>
      </c>
      <c r="N449" s="6">
        <v>45981</v>
      </c>
      <c r="O449" s="5">
        <v>1000</v>
      </c>
      <c r="P449" s="8" t="str">
        <f>IF(AND(L449&gt;0,O449&gt;0),(O449-L449)/L449,"")</f>
        <v/>
      </c>
      <c r="Q449" s="9"/>
      <c r="R449" s="9">
        <v>1</v>
      </c>
      <c r="S449" s="21">
        <f>IF(N449&gt;0,TODAY()-N449,"")</f>
        <v>130</v>
      </c>
    </row>
    <row r="450" ht="17" customHeight="1" spans="1:19" x14ac:dyDescent="0.25">
      <c r="A450" s="11" t="s">
        <v>20</v>
      </c>
      <c r="B450" s="11" t="s">
        <v>911</v>
      </c>
      <c r="C450" s="11" t="s">
        <v>922</v>
      </c>
      <c r="D450" s="11" t="s">
        <v>923</v>
      </c>
      <c r="E450" s="12">
        <v>10</v>
      </c>
      <c r="F450" s="13">
        <v>40</v>
      </c>
      <c r="G450" s="14">
        <v>45981</v>
      </c>
      <c r="H450" s="13">
        <v>40</v>
      </c>
      <c r="I450" s="15" t="s">
        <v>60</v>
      </c>
      <c r="J450" s="13">
        <v>40</v>
      </c>
      <c r="K450" s="17">
        <f>IF(AND(H450&gt;0,J450&gt;0),(J450-H450)/H450,"")</f>
        <v>0</v>
      </c>
      <c r="L450" s="13"/>
      <c r="M450" s="16" t="str">
        <f>IF(AND(J450&gt;0,L450&gt;0),(L450-J450)/J450,IF(AND(H450&gt;0,L450&gt;0),(L450-H450)/H450,""))</f>
        <v/>
      </c>
      <c r="N450" s="14">
        <v>45981</v>
      </c>
      <c r="O450" s="13">
        <v>40</v>
      </c>
      <c r="P450" s="16" t="str">
        <f>IF(AND(L450&gt;0,O450&gt;0),(O450-L450)/L450,"")</f>
        <v/>
      </c>
      <c r="Q450" s="18"/>
      <c r="R450" s="18">
        <v>1</v>
      </c>
      <c r="S450" s="21">
        <f>IF(N450&gt;0,TODAY()-N450,"")</f>
        <v>130</v>
      </c>
    </row>
    <row r="451" ht="17" customHeight="1" spans="1:19" x14ac:dyDescent="0.25">
      <c r="A451" s="3" t="s">
        <v>20</v>
      </c>
      <c r="B451" s="3" t="s">
        <v>911</v>
      </c>
      <c r="C451" s="3" t="s">
        <v>924</v>
      </c>
      <c r="D451" s="3" t="s">
        <v>925</v>
      </c>
      <c r="E451" s="4">
        <v>2</v>
      </c>
      <c r="F451" s="5">
        <v>3916.665</v>
      </c>
      <c r="G451" s="6">
        <v>45715</v>
      </c>
      <c r="H451" s="5">
        <v>3916.66</v>
      </c>
      <c r="I451" s="7" t="s">
        <v>24</v>
      </c>
      <c r="J451" s="5"/>
      <c r="K451" s="8" t="str">
        <f>IF(AND(H451&gt;0,J451&gt;0),(J451-H451)/H451,"")</f>
        <v/>
      </c>
      <c r="L451" s="5"/>
      <c r="M451" s="8" t="str">
        <f>IF(AND(J451&gt;0,L451&gt;0),(L451-J451)/J451,IF(AND(H451&gt;0,L451&gt;0),(L451-H451)/H451,""))</f>
        <v/>
      </c>
      <c r="N451" s="6">
        <v>45715</v>
      </c>
      <c r="O451" s="5">
        <v>3916.66</v>
      </c>
      <c r="P451" s="8" t="str">
        <f>IF(AND(L451&gt;0,O451&gt;0),(O451-L451)/L451,"")</f>
        <v/>
      </c>
      <c r="Q451" s="9"/>
      <c r="R451" s="9">
        <v>1</v>
      </c>
      <c r="S451" s="10">
        <f>IF(N451&gt;0,TODAY()-N451,"")</f>
        <v>396</v>
      </c>
    </row>
    <row r="452" ht="17" customHeight="1" spans="1:19" x14ac:dyDescent="0.25">
      <c r="A452" s="11" t="s">
        <v>20</v>
      </c>
      <c r="B452" s="11" t="s">
        <v>911</v>
      </c>
      <c r="C452" s="11" t="s">
        <v>926</v>
      </c>
      <c r="D452" s="11" t="s">
        <v>927</v>
      </c>
      <c r="E452" s="12">
        <v>16</v>
      </c>
      <c r="F452" s="13">
        <v>3085.799375</v>
      </c>
      <c r="G452" s="14">
        <v>45750</v>
      </c>
      <c r="H452" s="13">
        <v>2600</v>
      </c>
      <c r="I452" s="15" t="s">
        <v>24</v>
      </c>
      <c r="J452" s="13"/>
      <c r="K452" s="16" t="str">
        <f>IF(AND(H452&gt;0,J452&gt;0),(J452-H452)/H452,"")</f>
        <v/>
      </c>
      <c r="L452" s="13"/>
      <c r="M452" s="16" t="str">
        <f>IF(AND(J452&gt;0,L452&gt;0),(L452-J452)/J452,IF(AND(H452&gt;0,L452&gt;0),(L452-H452)/H452,""))</f>
        <v/>
      </c>
      <c r="N452" s="14">
        <v>46091</v>
      </c>
      <c r="O452" s="13">
        <v>3017.33</v>
      </c>
      <c r="P452" s="20">
        <f>IF(AND(L452&gt;0,O452&gt;0),(O452-L452)/L452,"")</f>
        <v>0.16051153846153843</v>
      </c>
      <c r="Q452" s="18">
        <v>85</v>
      </c>
      <c r="R452" s="18">
        <v>5</v>
      </c>
      <c r="S452" s="18">
        <f>IF(N452&gt;0,TODAY()-N452,"")</f>
        <v>20</v>
      </c>
    </row>
    <row r="453" ht="17" customHeight="1" spans="1:19" x14ac:dyDescent="0.25">
      <c r="A453" s="3" t="s">
        <v>20</v>
      </c>
      <c r="B453" s="3" t="s">
        <v>911</v>
      </c>
      <c r="C453" s="3" t="s">
        <v>928</v>
      </c>
      <c r="D453" s="3" t="s">
        <v>929</v>
      </c>
      <c r="E453" s="4">
        <v>94</v>
      </c>
      <c r="F453" s="5">
        <v>627.6595744680851</v>
      </c>
      <c r="G453" s="6">
        <v>45721</v>
      </c>
      <c r="H453" s="5">
        <v>500</v>
      </c>
      <c r="I453" s="7" t="s">
        <v>54</v>
      </c>
      <c r="J453" s="5">
        <v>750</v>
      </c>
      <c r="K453" s="23">
        <f>IF(AND(H453&gt;0,J453&gt;0),(J453-H453)/H453,"")</f>
        <v>0.5</v>
      </c>
      <c r="L453" s="5"/>
      <c r="M453" s="8" t="str">
        <f>IF(AND(J453&gt;0,L453&gt;0),(L453-J453)/J453,IF(AND(H453&gt;0,L453&gt;0),(L453-H453)/H453,""))</f>
        <v/>
      </c>
      <c r="N453" s="6">
        <v>46071</v>
      </c>
      <c r="O453" s="5">
        <v>750</v>
      </c>
      <c r="P453" s="24">
        <f>IF(AND(L453&gt;0,O453&gt;0),(O453-L453)/L453,"")</f>
        <v>0</v>
      </c>
      <c r="Q453" s="9">
        <v>50</v>
      </c>
      <c r="R453" s="9">
        <v>8</v>
      </c>
      <c r="S453" s="9">
        <f>IF(N453&gt;0,TODAY()-N453,"")</f>
        <v>40</v>
      </c>
    </row>
    <row r="454" ht="17" customHeight="1" spans="1:19" x14ac:dyDescent="0.25">
      <c r="A454" s="11" t="s">
        <v>20</v>
      </c>
      <c r="B454" s="11" t="s">
        <v>911</v>
      </c>
      <c r="C454" s="11" t="s">
        <v>930</v>
      </c>
      <c r="D454" s="11" t="s">
        <v>931</v>
      </c>
      <c r="E454" s="12">
        <v>15</v>
      </c>
      <c r="F454" s="13">
        <v>500</v>
      </c>
      <c r="G454" s="14">
        <v>45831</v>
      </c>
      <c r="H454" s="13">
        <v>500</v>
      </c>
      <c r="I454" s="15" t="s">
        <v>24</v>
      </c>
      <c r="J454" s="13"/>
      <c r="K454" s="16" t="str">
        <f>IF(AND(H454&gt;0,J454&gt;0),(J454-H454)/H454,"")</f>
        <v/>
      </c>
      <c r="L454" s="13"/>
      <c r="M454" s="16" t="str">
        <f>IF(AND(J454&gt;0,L454&gt;0),(L454-J454)/J454,IF(AND(H454&gt;0,L454&gt;0),(L454-H454)/H454,""))</f>
        <v/>
      </c>
      <c r="N454" s="14">
        <v>45883</v>
      </c>
      <c r="O454" s="13">
        <v>500</v>
      </c>
      <c r="P454" s="16" t="str">
        <f>IF(AND(L454&gt;0,O454&gt;0),(O454-L454)/L454,"")</f>
        <v/>
      </c>
      <c r="Q454" s="18">
        <v>26</v>
      </c>
      <c r="R454" s="18">
        <v>3</v>
      </c>
      <c r="S454" s="10">
        <f>IF(N454&gt;0,TODAY()-N454,"")</f>
        <v>228</v>
      </c>
    </row>
    <row r="455" ht="17" customHeight="1" spans="1:19" x14ac:dyDescent="0.25">
      <c r="A455" s="3" t="s">
        <v>20</v>
      </c>
      <c r="B455" s="3" t="s">
        <v>911</v>
      </c>
      <c r="C455" s="3" t="s">
        <v>932</v>
      </c>
      <c r="D455" s="3" t="s">
        <v>933</v>
      </c>
      <c r="E455" s="4">
        <v>214</v>
      </c>
      <c r="F455" s="5">
        <v>500</v>
      </c>
      <c r="G455" s="6">
        <v>45721</v>
      </c>
      <c r="H455" s="5">
        <v>500</v>
      </c>
      <c r="I455" s="7" t="s">
        <v>54</v>
      </c>
      <c r="J455" s="5">
        <v>500</v>
      </c>
      <c r="K455" s="24">
        <f>IF(AND(H455&gt;0,J455&gt;0),(J455-H455)/H455,"")</f>
        <v>0</v>
      </c>
      <c r="L455" s="5"/>
      <c r="M455" s="8" t="str">
        <f>IF(AND(J455&gt;0,L455&gt;0),(L455-J455)/J455,IF(AND(H455&gt;0,L455&gt;0),(L455-H455)/H455,""))</f>
        <v/>
      </c>
      <c r="N455" s="6">
        <v>46071</v>
      </c>
      <c r="O455" s="5">
        <v>500</v>
      </c>
      <c r="P455" s="24">
        <f>IF(AND(L455&gt;0,O455&gt;0),(O455-L455)/L455,"")</f>
        <v>0</v>
      </c>
      <c r="Q455" s="9">
        <v>35</v>
      </c>
      <c r="R455" s="9">
        <v>11</v>
      </c>
      <c r="S455" s="9">
        <f>IF(N455&gt;0,TODAY()-N455,"")</f>
        <v>40</v>
      </c>
    </row>
    <row r="456" ht="17" customHeight="1" spans="1:19" x14ac:dyDescent="0.25">
      <c r="A456" s="11" t="s">
        <v>20</v>
      </c>
      <c r="B456" s="11" t="s">
        <v>911</v>
      </c>
      <c r="C456" s="11" t="s">
        <v>934</v>
      </c>
      <c r="D456" s="11" t="s">
        <v>935</v>
      </c>
      <c r="E456" s="12">
        <v>2</v>
      </c>
      <c r="F456" s="13">
        <v>1303.33</v>
      </c>
      <c r="G456" s="14">
        <v>45729</v>
      </c>
      <c r="H456" s="13">
        <v>1303.33</v>
      </c>
      <c r="I456" s="15" t="s">
        <v>24</v>
      </c>
      <c r="J456" s="13"/>
      <c r="K456" s="16" t="str">
        <f>IF(AND(H456&gt;0,J456&gt;0),(J456-H456)/H456,"")</f>
        <v/>
      </c>
      <c r="L456" s="13"/>
      <c r="M456" s="16" t="str">
        <f>IF(AND(J456&gt;0,L456&gt;0),(L456-J456)/J456,IF(AND(H456&gt;0,L456&gt;0),(L456-H456)/H456,""))</f>
        <v/>
      </c>
      <c r="N456" s="14">
        <v>45729</v>
      </c>
      <c r="O456" s="13">
        <v>1303.33</v>
      </c>
      <c r="P456" s="16" t="str">
        <f>IF(AND(L456&gt;0,O456&gt;0),(O456-L456)/L456,"")</f>
        <v/>
      </c>
      <c r="Q456" s="18"/>
      <c r="R456" s="18">
        <v>1</v>
      </c>
      <c r="S456" s="10">
        <f>IF(N456&gt;0,TODAY()-N456,"")</f>
        <v>382</v>
      </c>
    </row>
    <row r="457" ht="17" customHeight="1" spans="1:19" x14ac:dyDescent="0.25">
      <c r="A457" s="3" t="s">
        <v>20</v>
      </c>
      <c r="B457" s="3" t="s">
        <v>911</v>
      </c>
      <c r="C457" s="3" t="s">
        <v>936</v>
      </c>
      <c r="D457" s="3" t="s">
        <v>937</v>
      </c>
      <c r="E457" s="4">
        <v>146</v>
      </c>
      <c r="F457" s="5">
        <v>63.6986301369863</v>
      </c>
      <c r="G457" s="6">
        <v>45734</v>
      </c>
      <c r="H457" s="5">
        <v>250</v>
      </c>
      <c r="I457" s="7" t="s">
        <v>57</v>
      </c>
      <c r="J457" s="5">
        <v>60</v>
      </c>
      <c r="K457" s="26">
        <f>IF(AND(H457&gt;0,J457&gt;0),(J457-H457)/H457,"")</f>
        <v>-0.76</v>
      </c>
      <c r="L457" s="5"/>
      <c r="M457" s="8" t="str">
        <f>IF(AND(J457&gt;0,L457&gt;0),(L457-J457)/J457,IF(AND(H457&gt;0,L457&gt;0),(L457-H457)/H457,""))</f>
        <v/>
      </c>
      <c r="N457" s="6">
        <v>45952</v>
      </c>
      <c r="O457" s="5">
        <v>60</v>
      </c>
      <c r="P457" s="8" t="str">
        <f>IF(AND(L457&gt;0,O457&gt;0),(O457-L457)/L457,"")</f>
        <v/>
      </c>
      <c r="Q457" s="9">
        <v>73</v>
      </c>
      <c r="R457" s="9">
        <v>4</v>
      </c>
      <c r="S457" s="21">
        <f>IF(N457&gt;0,TODAY()-N457,"")</f>
        <v>159</v>
      </c>
    </row>
    <row r="458" ht="17" customHeight="1" spans="1:19" x14ac:dyDescent="0.25">
      <c r="A458" s="11" t="s">
        <v>20</v>
      </c>
      <c r="B458" s="11" t="s">
        <v>911</v>
      </c>
      <c r="C458" s="11" t="s">
        <v>938</v>
      </c>
      <c r="D458" s="11" t="s">
        <v>939</v>
      </c>
      <c r="E458" s="12">
        <v>8</v>
      </c>
      <c r="F458" s="13">
        <v>100</v>
      </c>
      <c r="G458" s="14">
        <v>45744</v>
      </c>
      <c r="H458" s="13">
        <v>100</v>
      </c>
      <c r="I458" s="15" t="s">
        <v>24</v>
      </c>
      <c r="J458" s="13"/>
      <c r="K458" s="16" t="str">
        <f>IF(AND(H458&gt;0,J458&gt;0),(J458-H458)/H458,"")</f>
        <v/>
      </c>
      <c r="L458" s="13"/>
      <c r="M458" s="16" t="str">
        <f>IF(AND(J458&gt;0,L458&gt;0),(L458-J458)/J458,IF(AND(H458&gt;0,L458&gt;0),(L458-H458)/H458,""))</f>
        <v/>
      </c>
      <c r="N458" s="14">
        <v>45882</v>
      </c>
      <c r="O458" s="13">
        <v>100</v>
      </c>
      <c r="P458" s="16" t="str">
        <f>IF(AND(L458&gt;0,O458&gt;0),(O458-L458)/L458,"")</f>
        <v/>
      </c>
      <c r="Q458" s="18">
        <v>138</v>
      </c>
      <c r="R458" s="18">
        <v>2</v>
      </c>
      <c r="S458" s="10">
        <f>IF(N458&gt;0,TODAY()-N458,"")</f>
        <v>229</v>
      </c>
    </row>
    <row r="459" ht="17" customHeight="1" spans="1:19" x14ac:dyDescent="0.25">
      <c r="A459" s="3" t="s">
        <v>20</v>
      </c>
      <c r="B459" s="3" t="s">
        <v>911</v>
      </c>
      <c r="C459" s="3" t="s">
        <v>940</v>
      </c>
      <c r="D459" s="3" t="s">
        <v>941</v>
      </c>
      <c r="E459" s="4">
        <v>1</v>
      </c>
      <c r="F459" s="5">
        <v>5000</v>
      </c>
      <c r="G459" s="6">
        <v>45995</v>
      </c>
      <c r="H459" s="5">
        <v>5000</v>
      </c>
      <c r="I459" s="7" t="s">
        <v>54</v>
      </c>
      <c r="J459" s="5">
        <v>5000</v>
      </c>
      <c r="K459" s="24">
        <f>IF(AND(H459&gt;0,J459&gt;0),(J459-H459)/H459,"")</f>
        <v>0</v>
      </c>
      <c r="L459" s="5"/>
      <c r="M459" s="8" t="str">
        <f>IF(AND(J459&gt;0,L459&gt;0),(L459-J459)/J459,IF(AND(H459&gt;0,L459&gt;0),(L459-H459)/H459,""))</f>
        <v/>
      </c>
      <c r="N459" s="6">
        <v>45995</v>
      </c>
      <c r="O459" s="5">
        <v>5000</v>
      </c>
      <c r="P459" s="8" t="str">
        <f>IF(AND(L459&gt;0,O459&gt;0),(O459-L459)/L459,"")</f>
        <v/>
      </c>
      <c r="Q459" s="9"/>
      <c r="R459" s="9">
        <v>1</v>
      </c>
      <c r="S459" s="21">
        <f>IF(N459&gt;0,TODAY()-N459,"")</f>
        <v>116</v>
      </c>
    </row>
    <row r="460" ht="17" customHeight="1" spans="1:19" x14ac:dyDescent="0.25">
      <c r="A460" s="11" t="s">
        <v>20</v>
      </c>
      <c r="B460" s="11" t="s">
        <v>911</v>
      </c>
      <c r="C460" s="11" t="s">
        <v>942</v>
      </c>
      <c r="D460" s="11" t="s">
        <v>943</v>
      </c>
      <c r="E460" s="12">
        <v>20</v>
      </c>
      <c r="F460" s="13">
        <v>28.006999999999998</v>
      </c>
      <c r="G460" s="14">
        <v>45965</v>
      </c>
      <c r="H460" s="13">
        <v>28.01</v>
      </c>
      <c r="I460" s="15" t="s">
        <v>60</v>
      </c>
      <c r="J460" s="13">
        <v>28.01</v>
      </c>
      <c r="K460" s="17">
        <f>IF(AND(H460&gt;0,J460&gt;0),(J460-H460)/H460,"")</f>
        <v>0</v>
      </c>
      <c r="L460" s="13"/>
      <c r="M460" s="16" t="str">
        <f>IF(AND(J460&gt;0,L460&gt;0),(L460-J460)/J460,IF(AND(H460&gt;0,L460&gt;0),(L460-H460)/H460,""))</f>
        <v/>
      </c>
      <c r="N460" s="14">
        <v>45965</v>
      </c>
      <c r="O460" s="13">
        <v>28.01</v>
      </c>
      <c r="P460" s="16" t="str">
        <f>IF(AND(L460&gt;0,O460&gt;0),(O460-L460)/L460,"")</f>
        <v/>
      </c>
      <c r="Q460" s="18"/>
      <c r="R460" s="18">
        <v>1</v>
      </c>
      <c r="S460" s="21">
        <f>IF(N460&gt;0,TODAY()-N460,"")</f>
        <v>146</v>
      </c>
    </row>
    <row r="461" ht="17" customHeight="1" spans="1:19" x14ac:dyDescent="0.25">
      <c r="A461" s="3" t="s">
        <v>20</v>
      </c>
      <c r="B461" s="3" t="s">
        <v>911</v>
      </c>
      <c r="C461" s="3" t="s">
        <v>944</v>
      </c>
      <c r="D461" s="3" t="s">
        <v>945</v>
      </c>
      <c r="E461" s="4">
        <v>100</v>
      </c>
      <c r="F461" s="5">
        <v>100</v>
      </c>
      <c r="G461" s="6">
        <v>46063</v>
      </c>
      <c r="H461" s="5">
        <v>100</v>
      </c>
      <c r="I461" s="7" t="s">
        <v>24</v>
      </c>
      <c r="J461" s="5"/>
      <c r="K461" s="8" t="str">
        <f>IF(AND(H461&gt;0,J461&gt;0),(J461-H461)/H461,"")</f>
        <v/>
      </c>
      <c r="L461" s="5"/>
      <c r="M461" s="8" t="str">
        <f>IF(AND(J461&gt;0,L461&gt;0),(L461-J461)/J461,IF(AND(H461&gt;0,L461&gt;0),(L461-H461)/H461,""))</f>
        <v/>
      </c>
      <c r="N461" s="6">
        <v>46063</v>
      </c>
      <c r="O461" s="5">
        <v>100</v>
      </c>
      <c r="P461" s="24">
        <f>IF(AND(L461&gt;0,O461&gt;0),(O461-L461)/L461,"")</f>
        <v>0</v>
      </c>
      <c r="Q461" s="9"/>
      <c r="R461" s="9">
        <v>1</v>
      </c>
      <c r="S461" s="9">
        <f>IF(N461&gt;0,TODAY()-N461,"")</f>
        <v>48</v>
      </c>
    </row>
    <row r="462" ht="17" customHeight="1" spans="1:19" x14ac:dyDescent="0.25">
      <c r="A462" s="11" t="s">
        <v>20</v>
      </c>
      <c r="B462" s="11" t="s">
        <v>911</v>
      </c>
      <c r="C462" s="11" t="s">
        <v>946</v>
      </c>
      <c r="D462" s="11" t="s">
        <v>947</v>
      </c>
      <c r="E462" s="12">
        <v>9</v>
      </c>
      <c r="F462" s="13">
        <v>223.2</v>
      </c>
      <c r="G462" s="14">
        <v>45831</v>
      </c>
      <c r="H462" s="13">
        <v>270</v>
      </c>
      <c r="I462" s="15" t="s">
        <v>24</v>
      </c>
      <c r="J462" s="13"/>
      <c r="K462" s="16" t="str">
        <f>IF(AND(H462&gt;0,J462&gt;0),(J462-H462)/H462,"")</f>
        <v/>
      </c>
      <c r="L462" s="13"/>
      <c r="M462" s="16" t="str">
        <f>IF(AND(J462&gt;0,L462&gt;0),(L462-J462)/J462,IF(AND(H462&gt;0,L462&gt;0),(L462-H462)/H462,""))</f>
        <v/>
      </c>
      <c r="N462" s="14">
        <v>45918</v>
      </c>
      <c r="O462" s="13">
        <v>129.6</v>
      </c>
      <c r="P462" s="16" t="str">
        <f>IF(AND(L462&gt;0,O462&gt;0),(O462-L462)/L462,"")</f>
        <v/>
      </c>
      <c r="Q462" s="18">
        <v>87</v>
      </c>
      <c r="R462" s="18">
        <v>2</v>
      </c>
      <c r="S462" s="10">
        <f>IF(N462&gt;0,TODAY()-N462,"")</f>
        <v>193</v>
      </c>
    </row>
    <row r="463" ht="17" customHeight="1" spans="1:19" x14ac:dyDescent="0.25">
      <c r="A463" s="3" t="s">
        <v>20</v>
      </c>
      <c r="B463" s="3" t="s">
        <v>911</v>
      </c>
      <c r="C463" s="3" t="s">
        <v>948</v>
      </c>
      <c r="D463" s="3" t="s">
        <v>949</v>
      </c>
      <c r="E463" s="4">
        <v>20</v>
      </c>
      <c r="F463" s="5">
        <v>100.8</v>
      </c>
      <c r="G463" s="6">
        <v>45908</v>
      </c>
      <c r="H463" s="5">
        <v>100.8</v>
      </c>
      <c r="I463" s="7" t="s">
        <v>24</v>
      </c>
      <c r="J463" s="5"/>
      <c r="K463" s="8" t="str">
        <f>IF(AND(H463&gt;0,J463&gt;0),(J463-H463)/H463,"")</f>
        <v/>
      </c>
      <c r="L463" s="5"/>
      <c r="M463" s="8" t="str">
        <f>IF(AND(J463&gt;0,L463&gt;0),(L463-J463)/J463,IF(AND(H463&gt;0,L463&gt;0),(L463-H463)/H463,""))</f>
        <v/>
      </c>
      <c r="N463" s="6">
        <v>45908</v>
      </c>
      <c r="O463" s="5">
        <v>100.8</v>
      </c>
      <c r="P463" s="8" t="str">
        <f>IF(AND(L463&gt;0,O463&gt;0),(O463-L463)/L463,"")</f>
        <v/>
      </c>
      <c r="Q463" s="9"/>
      <c r="R463" s="9">
        <v>1</v>
      </c>
      <c r="S463" s="10">
        <f>IF(N463&gt;0,TODAY()-N463,"")</f>
        <v>203</v>
      </c>
    </row>
    <row r="464" ht="17" customHeight="1" spans="1:19" x14ac:dyDescent="0.25">
      <c r="A464" s="11" t="s">
        <v>20</v>
      </c>
      <c r="B464" s="11" t="s">
        <v>911</v>
      </c>
      <c r="C464" s="11" t="s">
        <v>950</v>
      </c>
      <c r="D464" s="11" t="s">
        <v>951</v>
      </c>
      <c r="E464" s="12">
        <v>70</v>
      </c>
      <c r="F464" s="13">
        <v>370.42857142857144</v>
      </c>
      <c r="G464" s="14">
        <v>45762</v>
      </c>
      <c r="H464" s="13">
        <v>410</v>
      </c>
      <c r="I464" s="15" t="s">
        <v>57</v>
      </c>
      <c r="J464" s="13">
        <v>451</v>
      </c>
      <c r="K464" s="20">
        <f>IF(AND(H464&gt;0,J464&gt;0),(J464-H464)/H464,"")</f>
        <v>0.1</v>
      </c>
      <c r="L464" s="13"/>
      <c r="M464" s="16" t="str">
        <f>IF(AND(J464&gt;0,L464&gt;0),(L464-J464)/J464,IF(AND(H464&gt;0,L464&gt;0),(L464-H464)/H464,""))</f>
        <v/>
      </c>
      <c r="N464" s="14">
        <v>45946</v>
      </c>
      <c r="O464" s="13">
        <v>451</v>
      </c>
      <c r="P464" s="16" t="str">
        <f>IF(AND(L464&gt;0,O464&gt;0),(O464-L464)/L464,"")</f>
        <v/>
      </c>
      <c r="Q464" s="18">
        <v>92</v>
      </c>
      <c r="R464" s="18">
        <v>3</v>
      </c>
      <c r="S464" s="21">
        <f>IF(N464&gt;0,TODAY()-N464,"")</f>
        <v>165</v>
      </c>
    </row>
    <row r="465" ht="17" customHeight="1" spans="1:19" x14ac:dyDescent="0.25">
      <c r="A465" s="3" t="s">
        <v>20</v>
      </c>
      <c r="B465" s="3" t="s">
        <v>911</v>
      </c>
      <c r="C465" s="3" t="s">
        <v>952</v>
      </c>
      <c r="D465" s="3" t="s">
        <v>953</v>
      </c>
      <c r="E465" s="4">
        <v>28</v>
      </c>
      <c r="F465" s="5">
        <v>423.0357142857143</v>
      </c>
      <c r="G465" s="6">
        <v>45876</v>
      </c>
      <c r="H465" s="5">
        <v>666.67</v>
      </c>
      <c r="I465" s="7" t="s">
        <v>57</v>
      </c>
      <c r="J465" s="5">
        <v>297</v>
      </c>
      <c r="K465" s="26">
        <f>IF(AND(H465&gt;0,J465&gt;0),(J465-H465)/H465,"")</f>
        <v>-0.5545022274888626</v>
      </c>
      <c r="L465" s="5">
        <v>700</v>
      </c>
      <c r="M465" s="23">
        <f>IF(AND(J465&gt;0,L465&gt;0),(L465-J465)/J465,IF(AND(H465&gt;0,L465&gt;0),(L465-H465)/H465,""))</f>
        <v>1.3569023569023568</v>
      </c>
      <c r="N465" s="6">
        <v>46049</v>
      </c>
      <c r="O465" s="5">
        <v>700</v>
      </c>
      <c r="P465" s="8" t="str">
        <f>IF(AND(L465&gt;0,O465&gt;0),(O465-L465)/L465,"")</f>
        <v/>
      </c>
      <c r="Q465" s="9">
        <v>58</v>
      </c>
      <c r="R465" s="9">
        <v>4</v>
      </c>
      <c r="S465" s="19">
        <f>IF(N465&gt;0,TODAY()-N465,"")</f>
        <v>62</v>
      </c>
    </row>
    <row r="466" ht="17" customHeight="1" spans="1:19" x14ac:dyDescent="0.25">
      <c r="A466" s="11" t="s">
        <v>20</v>
      </c>
      <c r="B466" s="11" t="s">
        <v>911</v>
      </c>
      <c r="C466" s="11" t="s">
        <v>954</v>
      </c>
      <c r="D466" s="11" t="s">
        <v>955</v>
      </c>
      <c r="E466" s="12">
        <v>15</v>
      </c>
      <c r="F466" s="13">
        <v>103</v>
      </c>
      <c r="G466" s="14">
        <v>45763</v>
      </c>
      <c r="H466" s="13">
        <v>78</v>
      </c>
      <c r="I466" s="15" t="s">
        <v>57</v>
      </c>
      <c r="J466" s="13">
        <v>93.6</v>
      </c>
      <c r="K466" s="20">
        <f>IF(AND(H466&gt;0,J466&gt;0),(J466-H466)/H466,"")</f>
        <v>0.19999999999999993</v>
      </c>
      <c r="L466" s="13"/>
      <c r="M466" s="16" t="str">
        <f>IF(AND(J466&gt;0,L466&gt;0),(L466-J466)/J466,IF(AND(H466&gt;0,L466&gt;0),(L466-H466)/H466,""))</f>
        <v/>
      </c>
      <c r="N466" s="14">
        <v>45946</v>
      </c>
      <c r="O466" s="13">
        <v>93.6</v>
      </c>
      <c r="P466" s="16" t="str">
        <f>IF(AND(L466&gt;0,O466&gt;0),(O466-L466)/L466,"")</f>
        <v/>
      </c>
      <c r="Q466" s="18">
        <v>92</v>
      </c>
      <c r="R466" s="18">
        <v>3</v>
      </c>
      <c r="S466" s="21">
        <f>IF(N466&gt;0,TODAY()-N466,"")</f>
        <v>165</v>
      </c>
    </row>
    <row r="467" ht="17" customHeight="1" spans="1:19" x14ac:dyDescent="0.25">
      <c r="A467" s="3" t="s">
        <v>20</v>
      </c>
      <c r="B467" s="3" t="s">
        <v>911</v>
      </c>
      <c r="C467" s="3" t="s">
        <v>956</v>
      </c>
      <c r="D467" s="3" t="s">
        <v>957</v>
      </c>
      <c r="E467" s="4">
        <v>2</v>
      </c>
      <c r="F467" s="5">
        <v>307.5</v>
      </c>
      <c r="G467" s="6">
        <v>45700</v>
      </c>
      <c r="H467" s="5">
        <v>307.5</v>
      </c>
      <c r="I467" s="7" t="s">
        <v>24</v>
      </c>
      <c r="J467" s="5"/>
      <c r="K467" s="8" t="str">
        <f>IF(AND(H467&gt;0,J467&gt;0),(J467-H467)/H467,"")</f>
        <v/>
      </c>
      <c r="L467" s="5"/>
      <c r="M467" s="8" t="str">
        <f>IF(AND(J467&gt;0,L467&gt;0),(L467-J467)/J467,IF(AND(H467&gt;0,L467&gt;0),(L467-H467)/H467,""))</f>
        <v/>
      </c>
      <c r="N467" s="6">
        <v>45700</v>
      </c>
      <c r="O467" s="5">
        <v>307.5</v>
      </c>
      <c r="P467" s="8" t="str">
        <f>IF(AND(L467&gt;0,O467&gt;0),(O467-L467)/L467,"")</f>
        <v/>
      </c>
      <c r="Q467" s="9"/>
      <c r="R467" s="9">
        <v>1</v>
      </c>
      <c r="S467" s="10">
        <f>IF(N467&gt;0,TODAY()-N467,"")</f>
        <v>411</v>
      </c>
    </row>
    <row r="468" ht="17" customHeight="1" spans="1:19" x14ac:dyDescent="0.25">
      <c r="A468" s="11" t="s">
        <v>20</v>
      </c>
      <c r="B468" s="11" t="s">
        <v>911</v>
      </c>
      <c r="C468" s="11" t="s">
        <v>958</v>
      </c>
      <c r="D468" s="11" t="s">
        <v>959</v>
      </c>
      <c r="E468" s="12">
        <v>3</v>
      </c>
      <c r="F468" s="13">
        <v>550</v>
      </c>
      <c r="G468" s="14">
        <v>45700</v>
      </c>
      <c r="H468" s="13">
        <v>550</v>
      </c>
      <c r="I468" s="15" t="s">
        <v>24</v>
      </c>
      <c r="J468" s="13"/>
      <c r="K468" s="16" t="str">
        <f>IF(AND(H468&gt;0,J468&gt;0),(J468-H468)/H468,"")</f>
        <v/>
      </c>
      <c r="L468" s="13"/>
      <c r="M468" s="16" t="str">
        <f>IF(AND(J468&gt;0,L468&gt;0),(L468-J468)/J468,IF(AND(H468&gt;0,L468&gt;0),(L468-H468)/H468,""))</f>
        <v/>
      </c>
      <c r="N468" s="14">
        <v>45700</v>
      </c>
      <c r="O468" s="13">
        <v>550</v>
      </c>
      <c r="P468" s="16" t="str">
        <f>IF(AND(L468&gt;0,O468&gt;0),(O468-L468)/L468,"")</f>
        <v/>
      </c>
      <c r="Q468" s="18"/>
      <c r="R468" s="18">
        <v>1</v>
      </c>
      <c r="S468" s="10">
        <f>IF(N468&gt;0,TODAY()-N468,"")</f>
        <v>411</v>
      </c>
    </row>
    <row r="469" ht="17" customHeight="1" spans="1:19" x14ac:dyDescent="0.25">
      <c r="A469" s="3" t="s">
        <v>20</v>
      </c>
      <c r="B469" s="3" t="s">
        <v>911</v>
      </c>
      <c r="C469" s="3" t="s">
        <v>960</v>
      </c>
      <c r="D469" s="3" t="s">
        <v>961</v>
      </c>
      <c r="E469" s="4">
        <v>3</v>
      </c>
      <c r="F469" s="5">
        <v>540</v>
      </c>
      <c r="G469" s="6">
        <v>45743</v>
      </c>
      <c r="H469" s="5">
        <v>540</v>
      </c>
      <c r="I469" s="7" t="s">
        <v>24</v>
      </c>
      <c r="J469" s="5"/>
      <c r="K469" s="8" t="str">
        <f>IF(AND(H469&gt;0,J469&gt;0),(J469-H469)/H469,"")</f>
        <v/>
      </c>
      <c r="L469" s="5"/>
      <c r="M469" s="8" t="str">
        <f>IF(AND(J469&gt;0,L469&gt;0),(L469-J469)/J469,IF(AND(H469&gt;0,L469&gt;0),(L469-H469)/H469,""))</f>
        <v/>
      </c>
      <c r="N469" s="6">
        <v>45743</v>
      </c>
      <c r="O469" s="5">
        <v>540</v>
      </c>
      <c r="P469" s="8" t="str">
        <f>IF(AND(L469&gt;0,O469&gt;0),(O469-L469)/L469,"")</f>
        <v/>
      </c>
      <c r="Q469" s="9"/>
      <c r="R469" s="9">
        <v>1</v>
      </c>
      <c r="S469" s="10">
        <f>IF(N469&gt;0,TODAY()-N469,"")</f>
        <v>368</v>
      </c>
    </row>
    <row r="470" ht="17" customHeight="1" spans="1:19" x14ac:dyDescent="0.25">
      <c r="A470" s="11" t="s">
        <v>20</v>
      </c>
      <c r="B470" s="11" t="s">
        <v>911</v>
      </c>
      <c r="C470" s="11" t="s">
        <v>962</v>
      </c>
      <c r="D470" s="11" t="s">
        <v>963</v>
      </c>
      <c r="E470" s="12">
        <v>1</v>
      </c>
      <c r="F470" s="13">
        <v>1188</v>
      </c>
      <c r="G470" s="14">
        <v>46035</v>
      </c>
      <c r="H470" s="13">
        <v>1188</v>
      </c>
      <c r="I470" s="15" t="s">
        <v>24</v>
      </c>
      <c r="J470" s="13"/>
      <c r="K470" s="16" t="str">
        <f>IF(AND(H470&gt;0,J470&gt;0),(J470-H470)/H470,"")</f>
        <v/>
      </c>
      <c r="L470" s="13">
        <v>1188</v>
      </c>
      <c r="M470" s="17">
        <f>IF(AND(J470&gt;0,L470&gt;0),(L470-J470)/J470,IF(AND(H470&gt;0,L470&gt;0),(L470-H470)/H470,""))</f>
        <v>0</v>
      </c>
      <c r="N470" s="14">
        <v>46035</v>
      </c>
      <c r="O470" s="13">
        <v>1188</v>
      </c>
      <c r="P470" s="16" t="str">
        <f>IF(AND(L470&gt;0,O470&gt;0),(O470-L470)/L470,"")</f>
        <v/>
      </c>
      <c r="Q470" s="18"/>
      <c r="R470" s="18">
        <v>1</v>
      </c>
      <c r="S470" s="19">
        <f>IF(N470&gt;0,TODAY()-N470,"")</f>
        <v>76</v>
      </c>
    </row>
    <row r="471" ht="17" customHeight="1" spans="1:19" x14ac:dyDescent="0.25">
      <c r="A471" s="3" t="s">
        <v>20</v>
      </c>
      <c r="B471" s="3" t="s">
        <v>911</v>
      </c>
      <c r="C471" s="3" t="s">
        <v>964</v>
      </c>
      <c r="D471" s="3" t="s">
        <v>965</v>
      </c>
      <c r="E471" s="4">
        <v>42</v>
      </c>
      <c r="F471" s="5">
        <v>407.1290476190476</v>
      </c>
      <c r="G471" s="6">
        <v>45874</v>
      </c>
      <c r="H471" s="5">
        <v>474.77</v>
      </c>
      <c r="I471" s="7" t="s">
        <v>54</v>
      </c>
      <c r="J471" s="5">
        <v>204.76</v>
      </c>
      <c r="K471" s="26">
        <f>IF(AND(H471&gt;0,J471&gt;0),(J471-H471)/H471,"")</f>
        <v>-0.5687174842555343</v>
      </c>
      <c r="L471" s="5"/>
      <c r="M471" s="8" t="str">
        <f>IF(AND(J471&gt;0,L471&gt;0),(L471-J471)/J471,IF(AND(H471&gt;0,L471&gt;0),(L471-H471)/H471,""))</f>
        <v/>
      </c>
      <c r="N471" s="6">
        <v>46010</v>
      </c>
      <c r="O471" s="5">
        <v>204.76</v>
      </c>
      <c r="P471" s="8" t="str">
        <f>IF(AND(L471&gt;0,O471&gt;0),(O471-L471)/L471,"")</f>
        <v/>
      </c>
      <c r="Q471" s="9">
        <v>68</v>
      </c>
      <c r="R471" s="9">
        <v>3</v>
      </c>
      <c r="S471" s="21">
        <f>IF(N471&gt;0,TODAY()-N471,"")</f>
        <v>101</v>
      </c>
    </row>
    <row r="472" ht="17" customHeight="1" spans="1:19" x14ac:dyDescent="0.25">
      <c r="A472" s="11" t="s">
        <v>20</v>
      </c>
      <c r="B472" s="11" t="s">
        <v>911</v>
      </c>
      <c r="C472" s="11" t="s">
        <v>966</v>
      </c>
      <c r="D472" s="11" t="s">
        <v>967</v>
      </c>
      <c r="E472" s="12">
        <v>40</v>
      </c>
      <c r="F472" s="13">
        <v>338.2259</v>
      </c>
      <c r="G472" s="14">
        <v>45735</v>
      </c>
      <c r="H472" s="13">
        <v>410.21</v>
      </c>
      <c r="I472" s="15" t="s">
        <v>57</v>
      </c>
      <c r="J472" s="13">
        <v>200.51</v>
      </c>
      <c r="K472" s="25">
        <f>IF(AND(H472&gt;0,J472&gt;0),(J472-H472)/H472,"")</f>
        <v>-0.5112015796787012</v>
      </c>
      <c r="L472" s="13"/>
      <c r="M472" s="16" t="str">
        <f>IF(AND(J472&gt;0,L472&gt;0),(L472-J472)/J472,IF(AND(H472&gt;0,L472&gt;0),(L472-H472)/H472,""))</f>
        <v/>
      </c>
      <c r="N472" s="14">
        <v>45947</v>
      </c>
      <c r="O472" s="13">
        <v>200.51</v>
      </c>
      <c r="P472" s="16" t="str">
        <f>IF(AND(L472&gt;0,O472&gt;0),(O472-L472)/L472,"")</f>
        <v/>
      </c>
      <c r="Q472" s="18">
        <v>106</v>
      </c>
      <c r="R472" s="18">
        <v>3</v>
      </c>
      <c r="S472" s="21">
        <f>IF(N472&gt;0,TODAY()-N472,"")</f>
        <v>164</v>
      </c>
    </row>
    <row r="473" ht="17" customHeight="1" spans="1:19" x14ac:dyDescent="0.25">
      <c r="A473" s="3" t="s">
        <v>20</v>
      </c>
      <c r="B473" s="3" t="s">
        <v>911</v>
      </c>
      <c r="C473" s="3" t="s">
        <v>968</v>
      </c>
      <c r="D473" s="3" t="s">
        <v>969</v>
      </c>
      <c r="E473" s="4">
        <v>248</v>
      </c>
      <c r="F473" s="5">
        <v>408.70181451612905</v>
      </c>
      <c r="G473" s="6">
        <v>45727</v>
      </c>
      <c r="H473" s="5">
        <v>400</v>
      </c>
      <c r="I473" s="7" t="s">
        <v>60</v>
      </c>
      <c r="J473" s="5">
        <v>291.67</v>
      </c>
      <c r="K473" s="26">
        <f>IF(AND(H473&gt;0,J473&gt;0),(J473-H473)/H473,"")</f>
        <v>-0.270825</v>
      </c>
      <c r="L473" s="5"/>
      <c r="M473" s="8" t="str">
        <f>IF(AND(J473&gt;0,L473&gt;0),(L473-J473)/J473,IF(AND(H473&gt;0,L473&gt;0),(L473-H473)/H473,""))</f>
        <v/>
      </c>
      <c r="N473" s="6">
        <v>46091</v>
      </c>
      <c r="O473" s="5">
        <v>375</v>
      </c>
      <c r="P473" s="23">
        <f>IF(AND(L473&gt;0,O473&gt;0),(O473-L473)/L473,"")</f>
        <v>0.2856995920046627</v>
      </c>
      <c r="Q473" s="9">
        <v>61</v>
      </c>
      <c r="R473" s="9">
        <v>7</v>
      </c>
      <c r="S473" s="9">
        <f>IF(N473&gt;0,TODAY()-N473,"")</f>
        <v>20</v>
      </c>
    </row>
    <row r="474" ht="17" customHeight="1" spans="1:19" x14ac:dyDescent="0.25">
      <c r="A474" s="11" t="s">
        <v>20</v>
      </c>
      <c r="B474" s="11" t="s">
        <v>911</v>
      </c>
      <c r="C474" s="11" t="s">
        <v>970</v>
      </c>
      <c r="D474" s="11" t="s">
        <v>971</v>
      </c>
      <c r="E474" s="12">
        <v>1</v>
      </c>
      <c r="F474" s="13">
        <v>4586.2869</v>
      </c>
      <c r="G474" s="14">
        <v>45889</v>
      </c>
      <c r="H474" s="13">
        <v>4586.29</v>
      </c>
      <c r="I474" s="15" t="s">
        <v>24</v>
      </c>
      <c r="J474" s="13"/>
      <c r="K474" s="16" t="str">
        <f>IF(AND(H474&gt;0,J474&gt;0),(J474-H474)/H474,"")</f>
        <v/>
      </c>
      <c r="L474" s="13"/>
      <c r="M474" s="16" t="str">
        <f>IF(AND(J474&gt;0,L474&gt;0),(L474-J474)/J474,IF(AND(H474&gt;0,L474&gt;0),(L474-H474)/H474,""))</f>
        <v/>
      </c>
      <c r="N474" s="14">
        <v>45889</v>
      </c>
      <c r="O474" s="13">
        <v>4586.29</v>
      </c>
      <c r="P474" s="16" t="str">
        <f>IF(AND(L474&gt;0,O474&gt;0),(O474-L474)/L474,"")</f>
        <v/>
      </c>
      <c r="Q474" s="18"/>
      <c r="R474" s="18">
        <v>1</v>
      </c>
      <c r="S474" s="10">
        <f>IF(N474&gt;0,TODAY()-N474,"")</f>
        <v>222</v>
      </c>
    </row>
    <row r="475" ht="17" customHeight="1" spans="1:19" x14ac:dyDescent="0.25">
      <c r="A475" s="3" t="s">
        <v>20</v>
      </c>
      <c r="B475" s="3" t="s">
        <v>911</v>
      </c>
      <c r="C475" s="3" t="s">
        <v>972</v>
      </c>
      <c r="D475" s="3" t="s">
        <v>973</v>
      </c>
      <c r="E475" s="4">
        <v>1</v>
      </c>
      <c r="F475" s="5">
        <v>39845.54</v>
      </c>
      <c r="G475" s="6">
        <v>46106</v>
      </c>
      <c r="H475" s="5">
        <v>39845.54</v>
      </c>
      <c r="I475" s="7" t="s">
        <v>24</v>
      </c>
      <c r="J475" s="5"/>
      <c r="K475" s="8" t="str">
        <f>IF(AND(H475&gt;0,J475&gt;0),(J475-H475)/H475,"")</f>
        <v/>
      </c>
      <c r="L475" s="5"/>
      <c r="M475" s="8" t="str">
        <f>IF(AND(J475&gt;0,L475&gt;0),(L475-J475)/J475,IF(AND(H475&gt;0,L475&gt;0),(L475-H475)/H475,""))</f>
        <v/>
      </c>
      <c r="N475" s="6">
        <v>46106</v>
      </c>
      <c r="O475" s="5">
        <v>39845.54</v>
      </c>
      <c r="P475" s="24">
        <f>IF(AND(L475&gt;0,O475&gt;0),(O475-L475)/L475,"")</f>
        <v>0</v>
      </c>
      <c r="Q475" s="9"/>
      <c r="R475" s="9">
        <v>1</v>
      </c>
      <c r="S475" s="9">
        <f>IF(N475&gt;0,TODAY()-N475,"")</f>
        <v>5</v>
      </c>
    </row>
    <row r="476" ht="17" customHeight="1" spans="1:19" x14ac:dyDescent="0.25">
      <c r="A476" s="11" t="s">
        <v>20</v>
      </c>
      <c r="B476" s="11" t="s">
        <v>911</v>
      </c>
      <c r="C476" s="11" t="s">
        <v>974</v>
      </c>
      <c r="D476" s="11" t="s">
        <v>975</v>
      </c>
      <c r="E476" s="12">
        <v>83</v>
      </c>
      <c r="F476" s="13">
        <v>13929.046024096384</v>
      </c>
      <c r="G476" s="14">
        <v>45688</v>
      </c>
      <c r="H476" s="13">
        <v>11175.42</v>
      </c>
      <c r="I476" s="15" t="s">
        <v>54</v>
      </c>
      <c r="J476" s="13">
        <v>15015.45</v>
      </c>
      <c r="K476" s="23">
        <f>IF(AND(H476&gt;0,J476&gt;0),(J476-H476)/H476,"")</f>
        <v>0.34361393128848855</v>
      </c>
      <c r="L476" s="13">
        <v>15442.72</v>
      </c>
      <c r="M476" s="17">
        <f>IF(AND(J476&gt;0,L476&gt;0),(L476-J476)/J476,IF(AND(H476&gt;0,L476&gt;0),(L476-H476)/H476,""))</f>
        <v>0.028455357648288836</v>
      </c>
      <c r="N476" s="14">
        <v>46106</v>
      </c>
      <c r="O476" s="13">
        <v>15424.08</v>
      </c>
      <c r="P476" s="25">
        <f>IF(AND(L476&gt;0,O476&gt;0),(O476-L476)/L476,"")</f>
        <v>-0.0012070412466197288</v>
      </c>
      <c r="Q476" s="18">
        <v>30</v>
      </c>
      <c r="R476" s="18">
        <v>15</v>
      </c>
      <c r="S476" s="18">
        <f>IF(N476&gt;0,TODAY()-N476,"")</f>
        <v>5</v>
      </c>
    </row>
    <row r="477" ht="17" customHeight="1" spans="1:19" x14ac:dyDescent="0.25">
      <c r="A477" s="3" t="s">
        <v>20</v>
      </c>
      <c r="B477" s="3" t="s">
        <v>911</v>
      </c>
      <c r="C477" s="3" t="s">
        <v>976</v>
      </c>
      <c r="D477" s="3" t="s">
        <v>977</v>
      </c>
      <c r="E477" s="4">
        <v>45</v>
      </c>
      <c r="F477" s="5">
        <v>26935.115999999998</v>
      </c>
      <c r="G477" s="6">
        <v>45688</v>
      </c>
      <c r="H477" s="5">
        <v>23282.75</v>
      </c>
      <c r="I477" s="7" t="s">
        <v>54</v>
      </c>
      <c r="J477" s="5">
        <v>31282.19</v>
      </c>
      <c r="K477" s="23">
        <f>IF(AND(H477&gt;0,J477&gt;0),(J477-H477)/H477,"")</f>
        <v>0.34357797081530317</v>
      </c>
      <c r="L477" s="5"/>
      <c r="M477" s="8" t="str">
        <f>IF(AND(J477&gt;0,L477&gt;0),(L477-J477)/J477,IF(AND(H477&gt;0,L477&gt;0),(L477-H477)/H477,""))</f>
        <v/>
      </c>
      <c r="N477" s="6">
        <v>46106</v>
      </c>
      <c r="O477" s="5">
        <v>32133.5</v>
      </c>
      <c r="P477" s="24">
        <f>IF(AND(L477&gt;0,O477&gt;0),(O477-L477)/L477,"")</f>
        <v>0.027213887518744734</v>
      </c>
      <c r="Q477" s="9">
        <v>38</v>
      </c>
      <c r="R477" s="9">
        <v>12</v>
      </c>
      <c r="S477" s="9">
        <f>IF(N477&gt;0,TODAY()-N477,"")</f>
        <v>5</v>
      </c>
    </row>
    <row r="478" ht="17" customHeight="1" spans="1:19" x14ac:dyDescent="0.25">
      <c r="A478" s="11" t="s">
        <v>20</v>
      </c>
      <c r="B478" s="11" t="s">
        <v>911</v>
      </c>
      <c r="C478" s="11" t="s">
        <v>978</v>
      </c>
      <c r="D478" s="11" t="s">
        <v>979</v>
      </c>
      <c r="E478" s="12">
        <v>2</v>
      </c>
      <c r="F478" s="13">
        <v>150</v>
      </c>
      <c r="G478" s="14">
        <v>45705</v>
      </c>
      <c r="H478" s="13">
        <v>150</v>
      </c>
      <c r="I478" s="15" t="s">
        <v>24</v>
      </c>
      <c r="J478" s="13"/>
      <c r="K478" s="16" t="str">
        <f>IF(AND(H478&gt;0,J478&gt;0),(J478-H478)/H478,"")</f>
        <v/>
      </c>
      <c r="L478" s="13"/>
      <c r="M478" s="16" t="str">
        <f>IF(AND(J478&gt;0,L478&gt;0),(L478-J478)/J478,IF(AND(H478&gt;0,L478&gt;0),(L478-H478)/H478,""))</f>
        <v/>
      </c>
      <c r="N478" s="14">
        <v>45705</v>
      </c>
      <c r="O478" s="13">
        <v>150</v>
      </c>
      <c r="P478" s="16" t="str">
        <f>IF(AND(L478&gt;0,O478&gt;0),(O478-L478)/L478,"")</f>
        <v/>
      </c>
      <c r="Q478" s="18"/>
      <c r="R478" s="18">
        <v>1</v>
      </c>
      <c r="S478" s="10">
        <f>IF(N478&gt;0,TODAY()-N478,"")</f>
        <v>406</v>
      </c>
    </row>
    <row r="479" ht="17" customHeight="1" spans="1:19" x14ac:dyDescent="0.25">
      <c r="A479" s="3" t="s">
        <v>20</v>
      </c>
      <c r="B479" s="3" t="s">
        <v>911</v>
      </c>
      <c r="C479" s="3" t="s">
        <v>980</v>
      </c>
      <c r="D479" s="3" t="s">
        <v>981</v>
      </c>
      <c r="E479" s="4">
        <v>1</v>
      </c>
      <c r="F479" s="5">
        <v>16500</v>
      </c>
      <c r="G479" s="6">
        <v>45706</v>
      </c>
      <c r="H479" s="5">
        <v>16500</v>
      </c>
      <c r="I479" s="7" t="s">
        <v>24</v>
      </c>
      <c r="J479" s="5"/>
      <c r="K479" s="8" t="str">
        <f>IF(AND(H479&gt;0,J479&gt;0),(J479-H479)/H479,"")</f>
        <v/>
      </c>
      <c r="L479" s="5"/>
      <c r="M479" s="8" t="str">
        <f>IF(AND(J479&gt;0,L479&gt;0),(L479-J479)/J479,IF(AND(H479&gt;0,L479&gt;0),(L479-H479)/H479,""))</f>
        <v/>
      </c>
      <c r="N479" s="6">
        <v>45706</v>
      </c>
      <c r="O479" s="5">
        <v>16500</v>
      </c>
      <c r="P479" s="8" t="str">
        <f>IF(AND(L479&gt;0,O479&gt;0),(O479-L479)/L479,"")</f>
        <v/>
      </c>
      <c r="Q479" s="9"/>
      <c r="R479" s="9">
        <v>1</v>
      </c>
      <c r="S479" s="10">
        <f>IF(N479&gt;0,TODAY()-N479,"")</f>
        <v>405</v>
      </c>
    </row>
    <row r="480" ht="17" customHeight="1" spans="1:19" x14ac:dyDescent="0.25">
      <c r="A480" s="11" t="s">
        <v>20</v>
      </c>
      <c r="B480" s="11" t="s">
        <v>911</v>
      </c>
      <c r="C480" s="11" t="s">
        <v>982</v>
      </c>
      <c r="D480" s="11" t="s">
        <v>983</v>
      </c>
      <c r="E480" s="12">
        <v>4</v>
      </c>
      <c r="F480" s="13">
        <v>150</v>
      </c>
      <c r="G480" s="14">
        <v>45705</v>
      </c>
      <c r="H480" s="13">
        <v>150</v>
      </c>
      <c r="I480" s="15" t="s">
        <v>24</v>
      </c>
      <c r="J480" s="13"/>
      <c r="K480" s="16" t="str">
        <f>IF(AND(H480&gt;0,J480&gt;0),(J480-H480)/H480,"")</f>
        <v/>
      </c>
      <c r="L480" s="13"/>
      <c r="M480" s="16" t="str">
        <f>IF(AND(J480&gt;0,L480&gt;0),(L480-J480)/J480,IF(AND(H480&gt;0,L480&gt;0),(L480-H480)/H480,""))</f>
        <v/>
      </c>
      <c r="N480" s="14">
        <v>45705</v>
      </c>
      <c r="O480" s="13">
        <v>150</v>
      </c>
      <c r="P480" s="16" t="str">
        <f>IF(AND(L480&gt;0,O480&gt;0),(O480-L480)/L480,"")</f>
        <v/>
      </c>
      <c r="Q480" s="18"/>
      <c r="R480" s="18">
        <v>1</v>
      </c>
      <c r="S480" s="10">
        <f>IF(N480&gt;0,TODAY()-N480,"")</f>
        <v>406</v>
      </c>
    </row>
    <row r="481" ht="17" customHeight="1" spans="1:19" x14ac:dyDescent="0.25">
      <c r="A481" s="3" t="s">
        <v>20</v>
      </c>
      <c r="B481" s="3" t="s">
        <v>911</v>
      </c>
      <c r="C481" s="3" t="s">
        <v>984</v>
      </c>
      <c r="D481" s="3" t="s">
        <v>985</v>
      </c>
      <c r="E481" s="4">
        <v>12</v>
      </c>
      <c r="F481" s="5">
        <v>2100</v>
      </c>
      <c r="G481" s="6">
        <v>46015</v>
      </c>
      <c r="H481" s="5">
        <v>2100</v>
      </c>
      <c r="I481" s="7" t="s">
        <v>54</v>
      </c>
      <c r="J481" s="5">
        <v>2100</v>
      </c>
      <c r="K481" s="24">
        <f>IF(AND(H481&gt;0,J481&gt;0),(J481-H481)/H481,"")</f>
        <v>0</v>
      </c>
      <c r="L481" s="5"/>
      <c r="M481" s="8" t="str">
        <f>IF(AND(J481&gt;0,L481&gt;0),(L481-J481)/J481,IF(AND(H481&gt;0,L481&gt;0),(L481-H481)/H481,""))</f>
        <v/>
      </c>
      <c r="N481" s="6">
        <v>46015</v>
      </c>
      <c r="O481" s="5">
        <v>2100</v>
      </c>
      <c r="P481" s="8" t="str">
        <f>IF(AND(L481&gt;0,O481&gt;0),(O481-L481)/L481,"")</f>
        <v/>
      </c>
      <c r="Q481" s="9"/>
      <c r="R481" s="9">
        <v>1</v>
      </c>
      <c r="S481" s="21">
        <f>IF(N481&gt;0,TODAY()-N481,"")</f>
        <v>96</v>
      </c>
    </row>
    <row r="482" ht="17" customHeight="1" spans="1:19" x14ac:dyDescent="0.25">
      <c r="A482" s="11" t="s">
        <v>20</v>
      </c>
      <c r="B482" s="11" t="s">
        <v>911</v>
      </c>
      <c r="C482" s="11" t="s">
        <v>986</v>
      </c>
      <c r="D482" s="11" t="s">
        <v>987</v>
      </c>
      <c r="E482" s="12">
        <v>12</v>
      </c>
      <c r="F482" s="13">
        <v>2900</v>
      </c>
      <c r="G482" s="14">
        <v>46015</v>
      </c>
      <c r="H482" s="13">
        <v>2900</v>
      </c>
      <c r="I482" s="15" t="s">
        <v>54</v>
      </c>
      <c r="J482" s="13">
        <v>2900</v>
      </c>
      <c r="K482" s="17">
        <f>IF(AND(H482&gt;0,J482&gt;0),(J482-H482)/H482,"")</f>
        <v>0</v>
      </c>
      <c r="L482" s="13"/>
      <c r="M482" s="16" t="str">
        <f>IF(AND(J482&gt;0,L482&gt;0),(L482-J482)/J482,IF(AND(H482&gt;0,L482&gt;0),(L482-H482)/H482,""))</f>
        <v/>
      </c>
      <c r="N482" s="14">
        <v>46015</v>
      </c>
      <c r="O482" s="13">
        <v>2900</v>
      </c>
      <c r="P482" s="16" t="str">
        <f>IF(AND(L482&gt;0,O482&gt;0),(O482-L482)/L482,"")</f>
        <v/>
      </c>
      <c r="Q482" s="18"/>
      <c r="R482" s="18">
        <v>1</v>
      </c>
      <c r="S482" s="21">
        <f>IF(N482&gt;0,TODAY()-N482,"")</f>
        <v>96</v>
      </c>
    </row>
    <row r="483" ht="17" customHeight="1" spans="1:19" x14ac:dyDescent="0.25">
      <c r="A483" s="3" t="s">
        <v>20</v>
      </c>
      <c r="B483" s="3" t="s">
        <v>911</v>
      </c>
      <c r="C483" s="3" t="s">
        <v>988</v>
      </c>
      <c r="D483" s="3" t="s">
        <v>989</v>
      </c>
      <c r="E483" s="4">
        <v>24</v>
      </c>
      <c r="F483" s="5">
        <v>423.36791666666664</v>
      </c>
      <c r="G483" s="6">
        <v>45742</v>
      </c>
      <c r="H483" s="5">
        <v>467.23</v>
      </c>
      <c r="I483" s="7" t="s">
        <v>24</v>
      </c>
      <c r="J483" s="5"/>
      <c r="K483" s="8" t="str">
        <f>IF(AND(H483&gt;0,J483&gt;0),(J483-H483)/H483,"")</f>
        <v/>
      </c>
      <c r="L483" s="5"/>
      <c r="M483" s="8" t="str">
        <f>IF(AND(J483&gt;0,L483&gt;0),(L483-J483)/J483,IF(AND(H483&gt;0,L483&gt;0),(L483-H483)/H483,""))</f>
        <v/>
      </c>
      <c r="N483" s="6">
        <v>45917</v>
      </c>
      <c r="O483" s="5">
        <v>414.6</v>
      </c>
      <c r="P483" s="8" t="str">
        <f>IF(AND(L483&gt;0,O483&gt;0),(O483-L483)/L483,"")</f>
        <v/>
      </c>
      <c r="Q483" s="9">
        <v>175</v>
      </c>
      <c r="R483" s="9">
        <v>2</v>
      </c>
      <c r="S483" s="10">
        <f>IF(N483&gt;0,TODAY()-N483,"")</f>
        <v>194</v>
      </c>
    </row>
    <row r="484" ht="17" customHeight="1" spans="1:19" x14ac:dyDescent="0.25">
      <c r="A484" s="11" t="s">
        <v>20</v>
      </c>
      <c r="B484" s="11" t="s">
        <v>911</v>
      </c>
      <c r="C484" s="11" t="s">
        <v>990</v>
      </c>
      <c r="D484" s="11" t="s">
        <v>991</v>
      </c>
      <c r="E484" s="12">
        <v>6</v>
      </c>
      <c r="F484" s="13">
        <v>331.6635533333333</v>
      </c>
      <c r="G484" s="14">
        <v>45876</v>
      </c>
      <c r="H484" s="13">
        <v>324.59</v>
      </c>
      <c r="I484" s="15" t="s">
        <v>57</v>
      </c>
      <c r="J484" s="13">
        <v>335.2</v>
      </c>
      <c r="K484" s="17">
        <f>IF(AND(H484&gt;0,J484&gt;0),(J484-H484)/H484,"")</f>
        <v>0.03268739024615674</v>
      </c>
      <c r="L484" s="13"/>
      <c r="M484" s="16" t="str">
        <f>IF(AND(J484&gt;0,L484&gt;0),(L484-J484)/J484,IF(AND(H484&gt;0,L484&gt;0),(L484-H484)/H484,""))</f>
        <v/>
      </c>
      <c r="N484" s="14">
        <v>45937</v>
      </c>
      <c r="O484" s="13">
        <v>335.2</v>
      </c>
      <c r="P484" s="16" t="str">
        <f>IF(AND(L484&gt;0,O484&gt;0),(O484-L484)/L484,"")</f>
        <v/>
      </c>
      <c r="Q484" s="18">
        <v>61</v>
      </c>
      <c r="R484" s="18">
        <v>2</v>
      </c>
      <c r="S484" s="21">
        <f>IF(N484&gt;0,TODAY()-N484,"")</f>
        <v>174</v>
      </c>
    </row>
    <row r="485" ht="17" customHeight="1" spans="1:19" x14ac:dyDescent="0.25">
      <c r="A485" s="3" t="s">
        <v>20</v>
      </c>
      <c r="B485" s="3" t="s">
        <v>911</v>
      </c>
      <c r="C485" s="3" t="s">
        <v>992</v>
      </c>
      <c r="D485" s="3" t="s">
        <v>993</v>
      </c>
      <c r="E485" s="4">
        <v>12</v>
      </c>
      <c r="F485" s="5">
        <v>293.20918</v>
      </c>
      <c r="G485" s="6">
        <v>45876</v>
      </c>
      <c r="H485" s="5">
        <v>286.95</v>
      </c>
      <c r="I485" s="7" t="s">
        <v>57</v>
      </c>
      <c r="J485" s="5">
        <v>296.34</v>
      </c>
      <c r="K485" s="24">
        <f>IF(AND(H485&gt;0,J485&gt;0),(J485-H485)/H485,"")</f>
        <v>0.032723470987976955</v>
      </c>
      <c r="L485" s="5"/>
      <c r="M485" s="8" t="str">
        <f>IF(AND(J485&gt;0,L485&gt;0),(L485-J485)/J485,IF(AND(H485&gt;0,L485&gt;0),(L485-H485)/H485,""))</f>
        <v/>
      </c>
      <c r="N485" s="6">
        <v>45937</v>
      </c>
      <c r="O485" s="5">
        <v>296.34</v>
      </c>
      <c r="P485" s="8" t="str">
        <f>IF(AND(L485&gt;0,O485&gt;0),(O485-L485)/L485,"")</f>
        <v/>
      </c>
      <c r="Q485" s="9">
        <v>61</v>
      </c>
      <c r="R485" s="9">
        <v>2</v>
      </c>
      <c r="S485" s="21">
        <f>IF(N485&gt;0,TODAY()-N485,"")</f>
        <v>174</v>
      </c>
    </row>
    <row r="486" ht="17" customHeight="1" spans="1:19" x14ac:dyDescent="0.25">
      <c r="A486" s="11" t="s">
        <v>20</v>
      </c>
      <c r="B486" s="11" t="s">
        <v>911</v>
      </c>
      <c r="C486" s="11" t="s">
        <v>994</v>
      </c>
      <c r="D486" s="11" t="s">
        <v>995</v>
      </c>
      <c r="E486" s="12">
        <v>8</v>
      </c>
      <c r="F486" s="13">
        <v>218.973556</v>
      </c>
      <c r="G486" s="14">
        <v>45876</v>
      </c>
      <c r="H486" s="13">
        <v>215.45</v>
      </c>
      <c r="I486" s="15" t="s">
        <v>57</v>
      </c>
      <c r="J486" s="13">
        <v>222.5</v>
      </c>
      <c r="K486" s="17">
        <f>IF(AND(H486&gt;0,J486&gt;0),(J486-H486)/H486,"")</f>
        <v>0.032722209329310796</v>
      </c>
      <c r="L486" s="13"/>
      <c r="M486" s="16" t="str">
        <f>IF(AND(J486&gt;0,L486&gt;0),(L486-J486)/J486,IF(AND(H486&gt;0,L486&gt;0),(L486-H486)/H486,""))</f>
        <v/>
      </c>
      <c r="N486" s="14">
        <v>45937</v>
      </c>
      <c r="O486" s="13">
        <v>222.5</v>
      </c>
      <c r="P486" s="16" t="str">
        <f>IF(AND(L486&gt;0,O486&gt;0),(O486-L486)/L486,"")</f>
        <v/>
      </c>
      <c r="Q486" s="18">
        <v>61</v>
      </c>
      <c r="R486" s="18">
        <v>2</v>
      </c>
      <c r="S486" s="21">
        <f>IF(N486&gt;0,TODAY()-N486,"")</f>
        <v>174</v>
      </c>
    </row>
    <row r="487" ht="17" customHeight="1" spans="1:19" x14ac:dyDescent="0.25">
      <c r="A487" s="3" t="s">
        <v>20</v>
      </c>
      <c r="B487" s="3" t="s">
        <v>911</v>
      </c>
      <c r="C487" s="3" t="s">
        <v>996</v>
      </c>
      <c r="D487" s="3" t="s">
        <v>997</v>
      </c>
      <c r="E487" s="4">
        <v>7</v>
      </c>
      <c r="F487" s="5">
        <v>3540.3957142857143</v>
      </c>
      <c r="G487" s="6">
        <v>45888</v>
      </c>
      <c r="H487" s="5">
        <v>3681.25</v>
      </c>
      <c r="I487" s="7" t="s">
        <v>24</v>
      </c>
      <c r="J487" s="5"/>
      <c r="K487" s="8" t="str">
        <f>IF(AND(H487&gt;0,J487&gt;0),(J487-H487)/H487,"")</f>
        <v/>
      </c>
      <c r="L487" s="5"/>
      <c r="M487" s="8" t="str">
        <f>IF(AND(J487&gt;0,L487&gt;0),(L487-J487)/J487,IF(AND(H487&gt;0,L487&gt;0),(L487-H487)/H487,""))</f>
        <v/>
      </c>
      <c r="N487" s="6">
        <v>45889</v>
      </c>
      <c r="O487" s="5">
        <v>3188.26</v>
      </c>
      <c r="P487" s="8" t="str">
        <f>IF(AND(L487&gt;0,O487&gt;0),(O487-L487)/L487,"")</f>
        <v/>
      </c>
      <c r="Q487" s="9">
        <v>1</v>
      </c>
      <c r="R487" s="9">
        <v>2</v>
      </c>
      <c r="S487" s="10">
        <f>IF(N487&gt;0,TODAY()-N487,"")</f>
        <v>222</v>
      </c>
    </row>
    <row r="488" ht="17" customHeight="1" spans="1:19" x14ac:dyDescent="0.25">
      <c r="A488" s="11" t="s">
        <v>20</v>
      </c>
      <c r="B488" s="11" t="s">
        <v>911</v>
      </c>
      <c r="C488" s="11" t="s">
        <v>998</v>
      </c>
      <c r="D488" s="11" t="s">
        <v>999</v>
      </c>
      <c r="E488" s="12">
        <v>2</v>
      </c>
      <c r="F488" s="13">
        <v>8758.365</v>
      </c>
      <c r="G488" s="14">
        <v>45727</v>
      </c>
      <c r="H488" s="13">
        <v>8758.36</v>
      </c>
      <c r="I488" s="15" t="s">
        <v>24</v>
      </c>
      <c r="J488" s="13"/>
      <c r="K488" s="16" t="str">
        <f>IF(AND(H488&gt;0,J488&gt;0),(J488-H488)/H488,"")</f>
        <v/>
      </c>
      <c r="L488" s="13"/>
      <c r="M488" s="16" t="str">
        <f>IF(AND(J488&gt;0,L488&gt;0),(L488-J488)/J488,IF(AND(H488&gt;0,L488&gt;0),(L488-H488)/H488,""))</f>
        <v/>
      </c>
      <c r="N488" s="14">
        <v>45727</v>
      </c>
      <c r="O488" s="13">
        <v>8758.36</v>
      </c>
      <c r="P488" s="16" t="str">
        <f>IF(AND(L488&gt;0,O488&gt;0),(O488-L488)/L488,"")</f>
        <v/>
      </c>
      <c r="Q488" s="18"/>
      <c r="R488" s="18">
        <v>1</v>
      </c>
      <c r="S488" s="10">
        <f>IF(N488&gt;0,TODAY()-N488,"")</f>
        <v>384</v>
      </c>
    </row>
    <row r="489" ht="17" customHeight="1" spans="1:19" x14ac:dyDescent="0.25">
      <c r="A489" s="3" t="s">
        <v>20</v>
      </c>
      <c r="B489" s="3" t="s">
        <v>911</v>
      </c>
      <c r="C489" s="3" t="s">
        <v>1000</v>
      </c>
      <c r="D489" s="3" t="s">
        <v>1001</v>
      </c>
      <c r="E489" s="4">
        <v>1</v>
      </c>
      <c r="F489" s="5">
        <v>6857.72</v>
      </c>
      <c r="G489" s="6">
        <v>45727</v>
      </c>
      <c r="H489" s="5">
        <v>6857.72</v>
      </c>
      <c r="I489" s="7" t="s">
        <v>24</v>
      </c>
      <c r="J489" s="5"/>
      <c r="K489" s="8" t="str">
        <f>IF(AND(H489&gt;0,J489&gt;0),(J489-H489)/H489,"")</f>
        <v/>
      </c>
      <c r="L489" s="5"/>
      <c r="M489" s="8" t="str">
        <f>IF(AND(J489&gt;0,L489&gt;0),(L489-J489)/J489,IF(AND(H489&gt;0,L489&gt;0),(L489-H489)/H489,""))</f>
        <v/>
      </c>
      <c r="N489" s="6">
        <v>45727</v>
      </c>
      <c r="O489" s="5">
        <v>6857.72</v>
      </c>
      <c r="P489" s="8" t="str">
        <f>IF(AND(L489&gt;0,O489&gt;0),(O489-L489)/L489,"")</f>
        <v/>
      </c>
      <c r="Q489" s="9"/>
      <c r="R489" s="9">
        <v>1</v>
      </c>
      <c r="S489" s="10">
        <f>IF(N489&gt;0,TODAY()-N489,"")</f>
        <v>384</v>
      </c>
    </row>
    <row r="490" ht="17" customHeight="1" spans="1:19" x14ac:dyDescent="0.25">
      <c r="A490" s="11" t="s">
        <v>20</v>
      </c>
      <c r="B490" s="11" t="s">
        <v>911</v>
      </c>
      <c r="C490" s="11" t="s">
        <v>1002</v>
      </c>
      <c r="D490" s="11" t="s">
        <v>1003</v>
      </c>
      <c r="E490" s="12">
        <v>31</v>
      </c>
      <c r="F490" s="13">
        <v>145.0816129032258</v>
      </c>
      <c r="G490" s="14">
        <v>45693</v>
      </c>
      <c r="H490" s="13">
        <v>132.42</v>
      </c>
      <c r="I490" s="15" t="s">
        <v>60</v>
      </c>
      <c r="J490" s="13">
        <v>149.17</v>
      </c>
      <c r="K490" s="20">
        <f>IF(AND(H490&gt;0,J490&gt;0),(J490-H490)/H490,"")</f>
        <v>0.126491466545839</v>
      </c>
      <c r="L490" s="13"/>
      <c r="M490" s="16" t="str">
        <f>IF(AND(J490&gt;0,L490&gt;0),(L490-J490)/J490,IF(AND(H490&gt;0,L490&gt;0),(L490-H490)/H490,""))</f>
        <v/>
      </c>
      <c r="N490" s="14">
        <v>46064</v>
      </c>
      <c r="O490" s="13">
        <v>149.17</v>
      </c>
      <c r="P490" s="17">
        <f>IF(AND(L490&gt;0,O490&gt;0),(O490-L490)/L490,"")</f>
        <v>0</v>
      </c>
      <c r="Q490" s="18">
        <v>124</v>
      </c>
      <c r="R490" s="18">
        <v>4</v>
      </c>
      <c r="S490" s="18">
        <f>IF(N490&gt;0,TODAY()-N490,"")</f>
        <v>47</v>
      </c>
    </row>
    <row r="491" ht="17" customHeight="1" spans="1:19" x14ac:dyDescent="0.25">
      <c r="A491" s="3" t="s">
        <v>20</v>
      </c>
      <c r="B491" s="3" t="s">
        <v>911</v>
      </c>
      <c r="C491" s="3" t="s">
        <v>1004</v>
      </c>
      <c r="D491" s="3" t="s">
        <v>1005</v>
      </c>
      <c r="E491" s="4">
        <v>1</v>
      </c>
      <c r="F491" s="5">
        <v>6486.31</v>
      </c>
      <c r="G491" s="6">
        <v>45742</v>
      </c>
      <c r="H491" s="5">
        <v>6486.31</v>
      </c>
      <c r="I491" s="7" t="s">
        <v>24</v>
      </c>
      <c r="J491" s="5"/>
      <c r="K491" s="8" t="str">
        <f>IF(AND(H491&gt;0,J491&gt;0),(J491-H491)/H491,"")</f>
        <v/>
      </c>
      <c r="L491" s="5"/>
      <c r="M491" s="8" t="str">
        <f>IF(AND(J491&gt;0,L491&gt;0),(L491-J491)/J491,IF(AND(H491&gt;0,L491&gt;0),(L491-H491)/H491,""))</f>
        <v/>
      </c>
      <c r="N491" s="6">
        <v>45742</v>
      </c>
      <c r="O491" s="5">
        <v>6486.31</v>
      </c>
      <c r="P491" s="8" t="str">
        <f>IF(AND(L491&gt;0,O491&gt;0),(O491-L491)/L491,"")</f>
        <v/>
      </c>
      <c r="Q491" s="9"/>
      <c r="R491" s="9">
        <v>1</v>
      </c>
      <c r="S491" s="10">
        <f>IF(N491&gt;0,TODAY()-N491,"")</f>
        <v>369</v>
      </c>
    </row>
    <row r="492" ht="17" customHeight="1" spans="1:19" x14ac:dyDescent="0.25">
      <c r="A492" s="11" t="s">
        <v>20</v>
      </c>
      <c r="B492" s="11" t="s">
        <v>911</v>
      </c>
      <c r="C492" s="11" t="s">
        <v>1006</v>
      </c>
      <c r="D492" s="11" t="s">
        <v>1007</v>
      </c>
      <c r="E492" s="12">
        <v>1</v>
      </c>
      <c r="F492" s="13">
        <v>4893.29</v>
      </c>
      <c r="G492" s="14">
        <v>45733</v>
      </c>
      <c r="H492" s="13">
        <v>4893.29</v>
      </c>
      <c r="I492" s="15" t="s">
        <v>24</v>
      </c>
      <c r="J492" s="13"/>
      <c r="K492" s="16" t="str">
        <f>IF(AND(H492&gt;0,J492&gt;0),(J492-H492)/H492,"")</f>
        <v/>
      </c>
      <c r="L492" s="13"/>
      <c r="M492" s="16" t="str">
        <f>IF(AND(J492&gt;0,L492&gt;0),(L492-J492)/J492,IF(AND(H492&gt;0,L492&gt;0),(L492-H492)/H492,""))</f>
        <v/>
      </c>
      <c r="N492" s="14">
        <v>45733</v>
      </c>
      <c r="O492" s="13">
        <v>4893.29</v>
      </c>
      <c r="P492" s="16" t="str">
        <f>IF(AND(L492&gt;0,O492&gt;0),(O492-L492)/L492,"")</f>
        <v/>
      </c>
      <c r="Q492" s="18"/>
      <c r="R492" s="18">
        <v>1</v>
      </c>
      <c r="S492" s="10">
        <f>IF(N492&gt;0,TODAY()-N492,"")</f>
        <v>378</v>
      </c>
    </row>
    <row r="493" ht="17" customHeight="1" spans="1:19" x14ac:dyDescent="0.25">
      <c r="A493" s="3" t="s">
        <v>20</v>
      </c>
      <c r="B493" s="3" t="s">
        <v>911</v>
      </c>
      <c r="C493" s="3" t="s">
        <v>1008</v>
      </c>
      <c r="D493" s="3" t="s">
        <v>1009</v>
      </c>
      <c r="E493" s="4">
        <v>2</v>
      </c>
      <c r="F493" s="5">
        <v>4512.87</v>
      </c>
      <c r="G493" s="6">
        <v>45733</v>
      </c>
      <c r="H493" s="5">
        <v>4512.87</v>
      </c>
      <c r="I493" s="7" t="s">
        <v>24</v>
      </c>
      <c r="J493" s="5"/>
      <c r="K493" s="8" t="str">
        <f>IF(AND(H493&gt;0,J493&gt;0),(J493-H493)/H493,"")</f>
        <v/>
      </c>
      <c r="L493" s="5"/>
      <c r="M493" s="8" t="str">
        <f>IF(AND(J493&gt;0,L493&gt;0),(L493-J493)/J493,IF(AND(H493&gt;0,L493&gt;0),(L493-H493)/H493,""))</f>
        <v/>
      </c>
      <c r="N493" s="6">
        <v>45733</v>
      </c>
      <c r="O493" s="5">
        <v>4512.87</v>
      </c>
      <c r="P493" s="8" t="str">
        <f>IF(AND(L493&gt;0,O493&gt;0),(O493-L493)/L493,"")</f>
        <v/>
      </c>
      <c r="Q493" s="9"/>
      <c r="R493" s="9">
        <v>1</v>
      </c>
      <c r="S493" s="10">
        <f>IF(N493&gt;0,TODAY()-N493,"")</f>
        <v>378</v>
      </c>
    </row>
    <row r="494" ht="17" customHeight="1" spans="1:19" x14ac:dyDescent="0.25">
      <c r="A494" s="11" t="s">
        <v>20</v>
      </c>
      <c r="B494" s="11" t="s">
        <v>911</v>
      </c>
      <c r="C494" s="11" t="s">
        <v>1010</v>
      </c>
      <c r="D494" s="11" t="s">
        <v>1011</v>
      </c>
      <c r="E494" s="12">
        <v>1</v>
      </c>
      <c r="F494" s="13">
        <v>7648</v>
      </c>
      <c r="G494" s="14">
        <v>45883</v>
      </c>
      <c r="H494" s="13">
        <v>7648</v>
      </c>
      <c r="I494" s="15" t="s">
        <v>24</v>
      </c>
      <c r="J494" s="13"/>
      <c r="K494" s="16" t="str">
        <f>IF(AND(H494&gt;0,J494&gt;0),(J494-H494)/H494,"")</f>
        <v/>
      </c>
      <c r="L494" s="13"/>
      <c r="M494" s="16" t="str">
        <f>IF(AND(J494&gt;0,L494&gt;0),(L494-J494)/J494,IF(AND(H494&gt;0,L494&gt;0),(L494-H494)/H494,""))</f>
        <v/>
      </c>
      <c r="N494" s="14">
        <v>45883</v>
      </c>
      <c r="O494" s="13">
        <v>7648</v>
      </c>
      <c r="P494" s="16" t="str">
        <f>IF(AND(L494&gt;0,O494&gt;0),(O494-L494)/L494,"")</f>
        <v/>
      </c>
      <c r="Q494" s="18"/>
      <c r="R494" s="18">
        <v>1</v>
      </c>
      <c r="S494" s="10">
        <f>IF(N494&gt;0,TODAY()-N494,"")</f>
        <v>228</v>
      </c>
    </row>
    <row r="495" ht="17" customHeight="1" spans="1:19" x14ac:dyDescent="0.25">
      <c r="A495" s="3" t="s">
        <v>20</v>
      </c>
      <c r="B495" s="3" t="s">
        <v>911</v>
      </c>
      <c r="C495" s="3" t="s">
        <v>1012</v>
      </c>
      <c r="D495" s="3" t="s">
        <v>1013</v>
      </c>
      <c r="E495" s="4">
        <v>1</v>
      </c>
      <c r="F495" s="5">
        <v>42875</v>
      </c>
      <c r="G495" s="6">
        <v>45950</v>
      </c>
      <c r="H495" s="5">
        <v>42875</v>
      </c>
      <c r="I495" s="7" t="s">
        <v>57</v>
      </c>
      <c r="J495" s="5">
        <v>42875</v>
      </c>
      <c r="K495" s="24">
        <f>IF(AND(H495&gt;0,J495&gt;0),(J495-H495)/H495,"")</f>
        <v>0</v>
      </c>
      <c r="L495" s="5"/>
      <c r="M495" s="8" t="str">
        <f>IF(AND(J495&gt;0,L495&gt;0),(L495-J495)/J495,IF(AND(H495&gt;0,L495&gt;0),(L495-H495)/H495,""))</f>
        <v/>
      </c>
      <c r="N495" s="6">
        <v>45950</v>
      </c>
      <c r="O495" s="5">
        <v>42875</v>
      </c>
      <c r="P495" s="8" t="str">
        <f>IF(AND(L495&gt;0,O495&gt;0),(O495-L495)/L495,"")</f>
        <v/>
      </c>
      <c r="Q495" s="9"/>
      <c r="R495" s="9">
        <v>1</v>
      </c>
      <c r="S495" s="21">
        <f>IF(N495&gt;0,TODAY()-N495,"")</f>
        <v>161</v>
      </c>
    </row>
    <row r="496" ht="17" customHeight="1" spans="1:19" x14ac:dyDescent="0.25">
      <c r="A496" s="11" t="s">
        <v>20</v>
      </c>
      <c r="B496" s="11" t="s">
        <v>911</v>
      </c>
      <c r="C496" s="11" t="s">
        <v>1014</v>
      </c>
      <c r="D496" s="11" t="s">
        <v>1015</v>
      </c>
      <c r="E496" s="12">
        <v>2</v>
      </c>
      <c r="F496" s="13">
        <v>22247.5</v>
      </c>
      <c r="G496" s="14">
        <v>45911</v>
      </c>
      <c r="H496" s="13">
        <v>20127.5</v>
      </c>
      <c r="I496" s="15" t="s">
        <v>24</v>
      </c>
      <c r="J496" s="13"/>
      <c r="K496" s="16" t="str">
        <f>IF(AND(H496&gt;0,J496&gt;0),(J496-H496)/H496,"")</f>
        <v/>
      </c>
      <c r="L496" s="13"/>
      <c r="M496" s="16" t="str">
        <f>IF(AND(J496&gt;0,L496&gt;0),(L496-J496)/J496,IF(AND(H496&gt;0,L496&gt;0),(L496-H496)/H496,""))</f>
        <v/>
      </c>
      <c r="N496" s="14">
        <v>46090</v>
      </c>
      <c r="O496" s="13">
        <v>24367.5</v>
      </c>
      <c r="P496" s="20">
        <f>IF(AND(L496&gt;0,O496&gt;0),(O496-L496)/L496,"")</f>
        <v>0.21065706123462924</v>
      </c>
      <c r="Q496" s="18">
        <v>179</v>
      </c>
      <c r="R496" s="18">
        <v>2</v>
      </c>
      <c r="S496" s="18">
        <f>IF(N496&gt;0,TODAY()-N496,"")</f>
        <v>21</v>
      </c>
    </row>
    <row r="497" ht="17" customHeight="1" spans="1:19" x14ac:dyDescent="0.25">
      <c r="A497" s="3" t="s">
        <v>20</v>
      </c>
      <c r="B497" s="3" t="s">
        <v>911</v>
      </c>
      <c r="C497" s="3" t="s">
        <v>1016</v>
      </c>
      <c r="D497" s="3" t="s">
        <v>1017</v>
      </c>
      <c r="E497" s="4">
        <v>1</v>
      </c>
      <c r="F497" s="5">
        <v>833.33</v>
      </c>
      <c r="G497" s="6">
        <v>45883</v>
      </c>
      <c r="H497" s="5">
        <v>833.33</v>
      </c>
      <c r="I497" s="7" t="s">
        <v>24</v>
      </c>
      <c r="J497" s="5"/>
      <c r="K497" s="8" t="str">
        <f>IF(AND(H497&gt;0,J497&gt;0),(J497-H497)/H497,"")</f>
        <v/>
      </c>
      <c r="L497" s="5"/>
      <c r="M497" s="8" t="str">
        <f>IF(AND(J497&gt;0,L497&gt;0),(L497-J497)/J497,IF(AND(H497&gt;0,L497&gt;0),(L497-H497)/H497,""))</f>
        <v/>
      </c>
      <c r="N497" s="6">
        <v>45883</v>
      </c>
      <c r="O497" s="5">
        <v>833.33</v>
      </c>
      <c r="P497" s="8" t="str">
        <f>IF(AND(L497&gt;0,O497&gt;0),(O497-L497)/L497,"")</f>
        <v/>
      </c>
      <c r="Q497" s="9"/>
      <c r="R497" s="9">
        <v>1</v>
      </c>
      <c r="S497" s="10">
        <f>IF(N497&gt;0,TODAY()-N497,"")</f>
        <v>228</v>
      </c>
    </row>
    <row r="498" ht="17" customHeight="1" spans="1:19" x14ac:dyDescent="0.25">
      <c r="A498" s="11" t="s">
        <v>20</v>
      </c>
      <c r="B498" s="11" t="s">
        <v>911</v>
      </c>
      <c r="C498" s="11" t="s">
        <v>1018</v>
      </c>
      <c r="D498" s="11" t="s">
        <v>1019</v>
      </c>
      <c r="E498" s="12">
        <v>5</v>
      </c>
      <c r="F498" s="13">
        <v>6592.051999999999</v>
      </c>
      <c r="G498" s="14">
        <v>45819</v>
      </c>
      <c r="H498" s="13">
        <v>15949.98</v>
      </c>
      <c r="I498" s="15" t="s">
        <v>24</v>
      </c>
      <c r="J498" s="13"/>
      <c r="K498" s="16" t="str">
        <f>IF(AND(H498&gt;0,J498&gt;0),(J498-H498)/H498,"")</f>
        <v/>
      </c>
      <c r="L498" s="13"/>
      <c r="M498" s="16" t="str">
        <f>IF(AND(J498&gt;0,L498&gt;0),(L498-J498)/J498,IF(AND(H498&gt;0,L498&gt;0),(L498-H498)/H498,""))</f>
        <v/>
      </c>
      <c r="N498" s="14">
        <v>46077</v>
      </c>
      <c r="O498" s="13">
        <v>322.5</v>
      </c>
      <c r="P498" s="25">
        <f>IF(AND(L498&gt;0,O498&gt;0),(O498-L498)/L498,"")</f>
        <v>-0.9797805389097667</v>
      </c>
      <c r="Q498" s="18">
        <v>129</v>
      </c>
      <c r="R498" s="18">
        <v>3</v>
      </c>
      <c r="S498" s="18">
        <f>IF(N498&gt;0,TODAY()-N498,"")</f>
        <v>34</v>
      </c>
    </row>
    <row r="499" ht="17" customHeight="1" spans="1:19" x14ac:dyDescent="0.25">
      <c r="A499" s="3" t="s">
        <v>20</v>
      </c>
      <c r="B499" s="3" t="s">
        <v>911</v>
      </c>
      <c r="C499" s="3" t="s">
        <v>1020</v>
      </c>
      <c r="D499" s="3" t="s">
        <v>1021</v>
      </c>
      <c r="E499" s="4">
        <v>26</v>
      </c>
      <c r="F499" s="5">
        <v>873.099643076923</v>
      </c>
      <c r="G499" s="6">
        <v>45680</v>
      </c>
      <c r="H499" s="5">
        <v>950</v>
      </c>
      <c r="I499" s="7" t="s">
        <v>24</v>
      </c>
      <c r="J499" s="5"/>
      <c r="K499" s="8" t="str">
        <f>IF(AND(H499&gt;0,J499&gt;0),(J499-H499)/H499,"")</f>
        <v/>
      </c>
      <c r="L499" s="5"/>
      <c r="M499" s="8" t="str">
        <f>IF(AND(J499&gt;0,L499&gt;0),(L499-J499)/J499,IF(AND(H499&gt;0,L499&gt;0),(L499-H499)/H499,""))</f>
        <v/>
      </c>
      <c r="N499" s="6">
        <v>45824</v>
      </c>
      <c r="O499" s="5">
        <v>850.03</v>
      </c>
      <c r="P499" s="8" t="str">
        <f>IF(AND(L499&gt;0,O499&gt;0),(O499-L499)/L499,"")</f>
        <v/>
      </c>
      <c r="Q499" s="9">
        <v>144</v>
      </c>
      <c r="R499" s="9">
        <v>2</v>
      </c>
      <c r="S499" s="10">
        <f>IF(N499&gt;0,TODAY()-N499,"")</f>
        <v>287</v>
      </c>
    </row>
    <row r="500" ht="17" customHeight="1" spans="1:19" x14ac:dyDescent="0.25">
      <c r="A500" s="11" t="s">
        <v>20</v>
      </c>
      <c r="B500" s="11" t="s">
        <v>911</v>
      </c>
      <c r="C500" s="11" t="s">
        <v>1022</v>
      </c>
      <c r="D500" s="11" t="s">
        <v>1023</v>
      </c>
      <c r="E500" s="12">
        <v>1</v>
      </c>
      <c r="F500" s="13">
        <v>1840.44</v>
      </c>
      <c r="G500" s="14">
        <v>45790</v>
      </c>
      <c r="H500" s="13">
        <v>1840.44</v>
      </c>
      <c r="I500" s="15" t="s">
        <v>24</v>
      </c>
      <c r="J500" s="13"/>
      <c r="K500" s="16" t="str">
        <f>IF(AND(H500&gt;0,J500&gt;0),(J500-H500)/H500,"")</f>
        <v/>
      </c>
      <c r="L500" s="13"/>
      <c r="M500" s="16" t="str">
        <f>IF(AND(J500&gt;0,L500&gt;0),(L500-J500)/J500,IF(AND(H500&gt;0,L500&gt;0),(L500-H500)/H500,""))</f>
        <v/>
      </c>
      <c r="N500" s="14">
        <v>45790</v>
      </c>
      <c r="O500" s="13">
        <v>1840.44</v>
      </c>
      <c r="P500" s="16" t="str">
        <f>IF(AND(L500&gt;0,O500&gt;0),(O500-L500)/L500,"")</f>
        <v/>
      </c>
      <c r="Q500" s="18"/>
      <c r="R500" s="18">
        <v>1</v>
      </c>
      <c r="S500" s="10">
        <f>IF(N500&gt;0,TODAY()-N500,"")</f>
        <v>321</v>
      </c>
    </row>
    <row r="501" ht="17" customHeight="1" spans="1:19" x14ac:dyDescent="0.25">
      <c r="A501" s="3" t="s">
        <v>20</v>
      </c>
      <c r="B501" s="3" t="s">
        <v>911</v>
      </c>
      <c r="C501" s="3" t="s">
        <v>1024</v>
      </c>
      <c r="D501" s="3" t="s">
        <v>1025</v>
      </c>
      <c r="E501" s="4">
        <v>3</v>
      </c>
      <c r="F501" s="5">
        <v>66</v>
      </c>
      <c r="G501" s="6">
        <v>45951</v>
      </c>
      <c r="H501" s="5">
        <v>66</v>
      </c>
      <c r="I501" s="7" t="s">
        <v>57</v>
      </c>
      <c r="J501" s="5">
        <v>66</v>
      </c>
      <c r="K501" s="24">
        <f>IF(AND(H501&gt;0,J501&gt;0),(J501-H501)/H501,"")</f>
        <v>0</v>
      </c>
      <c r="L501" s="5"/>
      <c r="M501" s="8" t="str">
        <f>IF(AND(J501&gt;0,L501&gt;0),(L501-J501)/J501,IF(AND(H501&gt;0,L501&gt;0),(L501-H501)/H501,""))</f>
        <v/>
      </c>
      <c r="N501" s="6">
        <v>45951</v>
      </c>
      <c r="O501" s="5">
        <v>66</v>
      </c>
      <c r="P501" s="8" t="str">
        <f>IF(AND(L501&gt;0,O501&gt;0),(O501-L501)/L501,"")</f>
        <v/>
      </c>
      <c r="Q501" s="9"/>
      <c r="R501" s="9">
        <v>1</v>
      </c>
      <c r="S501" s="21">
        <f>IF(N501&gt;0,TODAY()-N501,"")</f>
        <v>160</v>
      </c>
    </row>
    <row r="502" ht="17" customHeight="1" spans="1:19" x14ac:dyDescent="0.25">
      <c r="A502" s="11" t="s">
        <v>20</v>
      </c>
      <c r="B502" s="11" t="s">
        <v>911</v>
      </c>
      <c r="C502" s="11" t="s">
        <v>1026</v>
      </c>
      <c r="D502" s="11" t="s">
        <v>1027</v>
      </c>
      <c r="E502" s="12">
        <v>2</v>
      </c>
      <c r="F502" s="13">
        <v>20487.085</v>
      </c>
      <c r="G502" s="14">
        <v>45854</v>
      </c>
      <c r="H502" s="13">
        <v>19622.72</v>
      </c>
      <c r="I502" s="15" t="s">
        <v>24</v>
      </c>
      <c r="J502" s="13"/>
      <c r="K502" s="16" t="str">
        <f>IF(AND(H502&gt;0,J502&gt;0),(J502-H502)/H502,"")</f>
        <v/>
      </c>
      <c r="L502" s="13">
        <v>21351.45</v>
      </c>
      <c r="M502" s="17">
        <f>IF(AND(J502&gt;0,L502&gt;0),(L502-J502)/J502,IF(AND(H502&gt;0,L502&gt;0),(L502-H502)/H502,""))</f>
        <v>0.0880983879910634</v>
      </c>
      <c r="N502" s="14">
        <v>46049</v>
      </c>
      <c r="O502" s="13">
        <v>21351.45</v>
      </c>
      <c r="P502" s="16" t="str">
        <f>IF(AND(L502&gt;0,O502&gt;0),(O502-L502)/L502,"")</f>
        <v/>
      </c>
      <c r="Q502" s="18">
        <v>195</v>
      </c>
      <c r="R502" s="18">
        <v>2</v>
      </c>
      <c r="S502" s="19">
        <f>IF(N502&gt;0,TODAY()-N502,"")</f>
        <v>62</v>
      </c>
    </row>
    <row r="503" ht="17" customHeight="1" spans="1:19" x14ac:dyDescent="0.25">
      <c r="A503" s="3" t="s">
        <v>20</v>
      </c>
      <c r="B503" s="3" t="s">
        <v>911</v>
      </c>
      <c r="C503" s="3" t="s">
        <v>1028</v>
      </c>
      <c r="D503" s="3" t="s">
        <v>1029</v>
      </c>
      <c r="E503" s="4">
        <v>21</v>
      </c>
      <c r="F503" s="5">
        <v>664.5238095238095</v>
      </c>
      <c r="G503" s="6">
        <v>45700</v>
      </c>
      <c r="H503" s="5">
        <v>599</v>
      </c>
      <c r="I503" s="7" t="s">
        <v>24</v>
      </c>
      <c r="J503" s="5"/>
      <c r="K503" s="8" t="str">
        <f>IF(AND(H503&gt;0,J503&gt;0),(J503-H503)/H503,"")</f>
        <v/>
      </c>
      <c r="L503" s="5">
        <v>800</v>
      </c>
      <c r="M503" s="23">
        <f>IF(AND(J503&gt;0,L503&gt;0),(L503-J503)/J503,IF(AND(H503&gt;0,L503&gt;0),(L503-H503)/H503,""))</f>
        <v>0.335559265442404</v>
      </c>
      <c r="N503" s="6">
        <v>46094</v>
      </c>
      <c r="O503" s="5">
        <v>750</v>
      </c>
      <c r="P503" s="26">
        <f>IF(AND(L503&gt;0,O503&gt;0),(O503-L503)/L503,"")</f>
        <v>-0.0625</v>
      </c>
      <c r="Q503" s="9">
        <v>99</v>
      </c>
      <c r="R503" s="9">
        <v>5</v>
      </c>
      <c r="S503" s="9">
        <f>IF(N503&gt;0,TODAY()-N503,"")</f>
        <v>17</v>
      </c>
    </row>
    <row r="504" ht="17" customHeight="1" spans="1:19" x14ac:dyDescent="0.25">
      <c r="A504" s="11" t="s">
        <v>20</v>
      </c>
      <c r="B504" s="11" t="s">
        <v>911</v>
      </c>
      <c r="C504" s="11" t="s">
        <v>1030</v>
      </c>
      <c r="D504" s="11" t="s">
        <v>1031</v>
      </c>
      <c r="E504" s="12">
        <v>70</v>
      </c>
      <c r="F504" s="13">
        <v>3514.285714285714</v>
      </c>
      <c r="G504" s="14">
        <v>45685</v>
      </c>
      <c r="H504" s="13">
        <v>3300</v>
      </c>
      <c r="I504" s="15" t="s">
        <v>24</v>
      </c>
      <c r="J504" s="13"/>
      <c r="K504" s="16" t="str">
        <f>IF(AND(H504&gt;0,J504&gt;0),(J504-H504)/H504,"")</f>
        <v/>
      </c>
      <c r="L504" s="13">
        <v>4050</v>
      </c>
      <c r="M504" s="20">
        <f>IF(AND(J504&gt;0,L504&gt;0),(L504-J504)/J504,IF(AND(H504&gt;0,L504&gt;0),(L504-H504)/H504,""))</f>
        <v>0.22727272727272727</v>
      </c>
      <c r="N504" s="14">
        <v>46030</v>
      </c>
      <c r="O504" s="13">
        <v>4050</v>
      </c>
      <c r="P504" s="16" t="str">
        <f>IF(AND(L504&gt;0,O504&gt;0),(O504-L504)/L504,"")</f>
        <v/>
      </c>
      <c r="Q504" s="18">
        <v>173</v>
      </c>
      <c r="R504" s="18">
        <v>3</v>
      </c>
      <c r="S504" s="19">
        <f>IF(N504&gt;0,TODAY()-N504,"")</f>
        <v>81</v>
      </c>
    </row>
    <row r="505" ht="17" customHeight="1" spans="1:19" x14ac:dyDescent="0.25">
      <c r="A505" s="3" t="s">
        <v>20</v>
      </c>
      <c r="B505" s="3" t="s">
        <v>911</v>
      </c>
      <c r="C505" s="3" t="s">
        <v>1032</v>
      </c>
      <c r="D505" s="3" t="s">
        <v>1033</v>
      </c>
      <c r="E505" s="4">
        <v>15</v>
      </c>
      <c r="F505" s="5">
        <v>4089.574</v>
      </c>
      <c r="G505" s="6">
        <v>45694</v>
      </c>
      <c r="H505" s="5">
        <v>4500</v>
      </c>
      <c r="I505" s="7" t="s">
        <v>24</v>
      </c>
      <c r="J505" s="5"/>
      <c r="K505" s="8" t="str">
        <f>IF(AND(H505&gt;0,J505&gt;0),(J505-H505)/H505,"")</f>
        <v/>
      </c>
      <c r="L505" s="5"/>
      <c r="M505" s="8" t="str">
        <f>IF(AND(J505&gt;0,L505&gt;0),(L505-J505)/J505,IF(AND(H505&gt;0,L505&gt;0),(L505-H505)/H505,""))</f>
        <v/>
      </c>
      <c r="N505" s="6">
        <v>45785</v>
      </c>
      <c r="O505" s="5">
        <v>3937.11</v>
      </c>
      <c r="P505" s="8" t="str">
        <f>IF(AND(L505&gt;0,O505&gt;0),(O505-L505)/L505,"")</f>
        <v/>
      </c>
      <c r="Q505" s="9">
        <v>46</v>
      </c>
      <c r="R505" s="9">
        <v>3</v>
      </c>
      <c r="S505" s="10">
        <f>IF(N505&gt;0,TODAY()-N505,"")</f>
        <v>326</v>
      </c>
    </row>
    <row r="506" ht="17" customHeight="1" spans="1:19" x14ac:dyDescent="0.25">
      <c r="A506" s="11" t="s">
        <v>20</v>
      </c>
      <c r="B506" s="11" t="s">
        <v>911</v>
      </c>
      <c r="C506" s="11" t="s">
        <v>1034</v>
      </c>
      <c r="D506" s="11" t="s">
        <v>1035</v>
      </c>
      <c r="E506" s="12">
        <v>129</v>
      </c>
      <c r="F506" s="13">
        <v>310.03186046511627</v>
      </c>
      <c r="G506" s="14">
        <v>45684</v>
      </c>
      <c r="H506" s="13">
        <v>520</v>
      </c>
      <c r="I506" s="15" t="s">
        <v>24</v>
      </c>
      <c r="J506" s="13"/>
      <c r="K506" s="16" t="str">
        <f>IF(AND(H506&gt;0,J506&gt;0),(J506-H506)/H506,"")</f>
        <v/>
      </c>
      <c r="L506" s="13"/>
      <c r="M506" s="16" t="str">
        <f>IF(AND(J506&gt;0,L506&gt;0),(L506-J506)/J506,IF(AND(H506&gt;0,L506&gt;0),(L506-H506)/H506,""))</f>
        <v/>
      </c>
      <c r="N506" s="14">
        <v>46108</v>
      </c>
      <c r="O506" s="13">
        <v>350</v>
      </c>
      <c r="P506" s="25">
        <f>IF(AND(L506&gt;0,O506&gt;0),(O506-L506)/L506,"")</f>
        <v>-0.3269230769230769</v>
      </c>
      <c r="Q506" s="18">
        <v>85</v>
      </c>
      <c r="R506" s="18">
        <v>6</v>
      </c>
      <c r="S506" s="18">
        <f>IF(N506&gt;0,TODAY()-N506,"")</f>
        <v>3</v>
      </c>
    </row>
    <row r="507" ht="17" customHeight="1" spans="1:19" x14ac:dyDescent="0.25">
      <c r="A507" s="3" t="s">
        <v>20</v>
      </c>
      <c r="B507" s="3" t="s">
        <v>911</v>
      </c>
      <c r="C507" s="3" t="s">
        <v>1036</v>
      </c>
      <c r="D507" s="3" t="s">
        <v>1037</v>
      </c>
      <c r="E507" s="4">
        <v>177</v>
      </c>
      <c r="F507" s="5">
        <v>279.7164971751412</v>
      </c>
      <c r="G507" s="6">
        <v>45684</v>
      </c>
      <c r="H507" s="5">
        <v>520</v>
      </c>
      <c r="I507" s="7" t="s">
        <v>24</v>
      </c>
      <c r="J507" s="5"/>
      <c r="K507" s="8" t="str">
        <f>IF(AND(H507&gt;0,J507&gt;0),(J507-H507)/H507,"")</f>
        <v/>
      </c>
      <c r="L507" s="5"/>
      <c r="M507" s="8" t="str">
        <f>IF(AND(J507&gt;0,L507&gt;0),(L507-J507)/J507,IF(AND(H507&gt;0,L507&gt;0),(L507-H507)/H507,""))</f>
        <v/>
      </c>
      <c r="N507" s="6">
        <v>46108</v>
      </c>
      <c r="O507" s="5">
        <v>400</v>
      </c>
      <c r="P507" s="26">
        <f>IF(AND(L507&gt;0,O507&gt;0),(O507-L507)/L507,"")</f>
        <v>-0.23076923076923075</v>
      </c>
      <c r="Q507" s="9">
        <v>106</v>
      </c>
      <c r="R507" s="9">
        <v>5</v>
      </c>
      <c r="S507" s="9">
        <f>IF(N507&gt;0,TODAY()-N507,"")</f>
        <v>3</v>
      </c>
    </row>
    <row r="508" ht="17" customHeight="1" spans="1:19" x14ac:dyDescent="0.25">
      <c r="A508" s="11" t="s">
        <v>20</v>
      </c>
      <c r="B508" s="11" t="s">
        <v>911</v>
      </c>
      <c r="C508" s="11" t="s">
        <v>1038</v>
      </c>
      <c r="D508" s="11" t="s">
        <v>1039</v>
      </c>
      <c r="E508" s="12">
        <v>152</v>
      </c>
      <c r="F508" s="13">
        <v>197.83598684210526</v>
      </c>
      <c r="G508" s="14">
        <v>45684</v>
      </c>
      <c r="H508" s="13">
        <v>455</v>
      </c>
      <c r="I508" s="15" t="s">
        <v>24</v>
      </c>
      <c r="J508" s="13"/>
      <c r="K508" s="16" t="str">
        <f>IF(AND(H508&gt;0,J508&gt;0),(J508-H508)/H508,"")</f>
        <v/>
      </c>
      <c r="L508" s="13"/>
      <c r="M508" s="16" t="str">
        <f>IF(AND(J508&gt;0,L508&gt;0),(L508-J508)/J508,IF(AND(H508&gt;0,L508&gt;0),(L508-H508)/H508,""))</f>
        <v/>
      </c>
      <c r="N508" s="14">
        <v>45824</v>
      </c>
      <c r="O508" s="13">
        <v>151.55</v>
      </c>
      <c r="P508" s="16" t="str">
        <f>IF(AND(L508&gt;0,O508&gt;0),(O508-L508)/L508,"")</f>
        <v/>
      </c>
      <c r="Q508" s="18">
        <v>47</v>
      </c>
      <c r="R508" s="18">
        <v>4</v>
      </c>
      <c r="S508" s="10">
        <f>IF(N508&gt;0,TODAY()-N508,"")</f>
        <v>287</v>
      </c>
    </row>
    <row r="509" ht="17" customHeight="1" spans="1:19" x14ac:dyDescent="0.25">
      <c r="A509" s="3" t="s">
        <v>20</v>
      </c>
      <c r="B509" s="3" t="s">
        <v>911</v>
      </c>
      <c r="C509" s="3" t="s">
        <v>1040</v>
      </c>
      <c r="D509" s="3" t="s">
        <v>1041</v>
      </c>
      <c r="E509" s="4">
        <v>92</v>
      </c>
      <c r="F509" s="5">
        <v>147.67804347826086</v>
      </c>
      <c r="G509" s="6">
        <v>45684</v>
      </c>
      <c r="H509" s="5">
        <v>260</v>
      </c>
      <c r="I509" s="7" t="s">
        <v>24</v>
      </c>
      <c r="J509" s="5"/>
      <c r="K509" s="8" t="str">
        <f>IF(AND(H509&gt;0,J509&gt;0),(J509-H509)/H509,"")</f>
        <v/>
      </c>
      <c r="L509" s="5"/>
      <c r="M509" s="8" t="str">
        <f>IF(AND(J509&gt;0,L509&gt;0),(L509-J509)/J509,IF(AND(H509&gt;0,L509&gt;0),(L509-H509)/H509,""))</f>
        <v/>
      </c>
      <c r="N509" s="6">
        <v>45824</v>
      </c>
      <c r="O509" s="5">
        <v>66.5</v>
      </c>
      <c r="P509" s="8" t="str">
        <f>IF(AND(L509&gt;0,O509&gt;0),(O509-L509)/L509,"")</f>
        <v/>
      </c>
      <c r="Q509" s="9">
        <v>47</v>
      </c>
      <c r="R509" s="9">
        <v>4</v>
      </c>
      <c r="S509" s="10">
        <f>IF(N509&gt;0,TODAY()-N509,"")</f>
        <v>287</v>
      </c>
    </row>
    <row r="510" ht="17" customHeight="1" spans="1:19" x14ac:dyDescent="0.25">
      <c r="A510" s="11" t="s">
        <v>20</v>
      </c>
      <c r="B510" s="11" t="s">
        <v>911</v>
      </c>
      <c r="C510" s="11" t="s">
        <v>1042</v>
      </c>
      <c r="D510" s="11" t="s">
        <v>1043</v>
      </c>
      <c r="E510" s="12">
        <v>92</v>
      </c>
      <c r="F510" s="13">
        <v>125.01315217391306</v>
      </c>
      <c r="G510" s="14">
        <v>45684</v>
      </c>
      <c r="H510" s="13">
        <v>195</v>
      </c>
      <c r="I510" s="15" t="s">
        <v>24</v>
      </c>
      <c r="J510" s="13"/>
      <c r="K510" s="16" t="str">
        <f>IF(AND(H510&gt;0,J510&gt;0),(J510-H510)/H510,"")</f>
        <v/>
      </c>
      <c r="L510" s="13"/>
      <c r="M510" s="16" t="str">
        <f>IF(AND(J510&gt;0,L510&gt;0),(L510-J510)/J510,IF(AND(H510&gt;0,L510&gt;0),(L510-H510)/H510,""))</f>
        <v/>
      </c>
      <c r="N510" s="14">
        <v>45824</v>
      </c>
      <c r="O510" s="13">
        <v>44.33</v>
      </c>
      <c r="P510" s="16" t="str">
        <f>IF(AND(L510&gt;0,O510&gt;0),(O510-L510)/L510,"")</f>
        <v/>
      </c>
      <c r="Q510" s="18">
        <v>47</v>
      </c>
      <c r="R510" s="18">
        <v>4</v>
      </c>
      <c r="S510" s="10">
        <f>IF(N510&gt;0,TODAY()-N510,"")</f>
        <v>287</v>
      </c>
    </row>
    <row r="511" ht="17" customHeight="1" spans="1:19" x14ac:dyDescent="0.25">
      <c r="A511" s="3" t="s">
        <v>20</v>
      </c>
      <c r="B511" s="3" t="s">
        <v>911</v>
      </c>
      <c r="C511" s="3" t="s">
        <v>1044</v>
      </c>
      <c r="D511" s="3" t="s">
        <v>1045</v>
      </c>
      <c r="E511" s="4">
        <v>1</v>
      </c>
      <c r="F511" s="5">
        <v>11695.5</v>
      </c>
      <c r="G511" s="6">
        <v>46044</v>
      </c>
      <c r="H511" s="5">
        <v>11695.5</v>
      </c>
      <c r="I511" s="7" t="s">
        <v>24</v>
      </c>
      <c r="J511" s="5"/>
      <c r="K511" s="8" t="str">
        <f>IF(AND(H511&gt;0,J511&gt;0),(J511-H511)/H511,"")</f>
        <v/>
      </c>
      <c r="L511" s="5">
        <v>11695.5</v>
      </c>
      <c r="M511" s="24">
        <f>IF(AND(J511&gt;0,L511&gt;0),(L511-J511)/J511,IF(AND(H511&gt;0,L511&gt;0),(L511-H511)/H511,""))</f>
        <v>0</v>
      </c>
      <c r="N511" s="6">
        <v>46044</v>
      </c>
      <c r="O511" s="5">
        <v>11695.5</v>
      </c>
      <c r="P511" s="8" t="str">
        <f>IF(AND(L511&gt;0,O511&gt;0),(O511-L511)/L511,"")</f>
        <v/>
      </c>
      <c r="Q511" s="9"/>
      <c r="R511" s="9">
        <v>1</v>
      </c>
      <c r="S511" s="19">
        <f>IF(N511&gt;0,TODAY()-N511,"")</f>
        <v>67</v>
      </c>
    </row>
    <row r="512" ht="17" customHeight="1" spans="1:19" x14ac:dyDescent="0.25">
      <c r="A512" s="11" t="s">
        <v>20</v>
      </c>
      <c r="B512" s="11" t="s">
        <v>911</v>
      </c>
      <c r="C512" s="11" t="s">
        <v>1046</v>
      </c>
      <c r="D512" s="11" t="s">
        <v>1047</v>
      </c>
      <c r="E512" s="12">
        <v>23</v>
      </c>
      <c r="F512" s="13">
        <v>16641.220260869566</v>
      </c>
      <c r="G512" s="14">
        <v>45727</v>
      </c>
      <c r="H512" s="13">
        <v>13318.33</v>
      </c>
      <c r="I512" s="15" t="s">
        <v>60</v>
      </c>
      <c r="J512" s="13">
        <v>17112.03</v>
      </c>
      <c r="K512" s="23">
        <f>IF(AND(H512&gt;0,J512&gt;0),(J512-H512)/H512,"")</f>
        <v>0.2848480252404017</v>
      </c>
      <c r="L512" s="13">
        <v>18095.37</v>
      </c>
      <c r="M512" s="17">
        <f>IF(AND(J512&gt;0,L512&gt;0),(L512-J512)/J512,IF(AND(H512&gt;0,L512&gt;0),(L512-H512)/H512,""))</f>
        <v>0.05746483614159163</v>
      </c>
      <c r="N512" s="14">
        <v>46108</v>
      </c>
      <c r="O512" s="13">
        <v>23970</v>
      </c>
      <c r="P512" s="23">
        <f>IF(AND(L512&gt;0,O512&gt;0),(O512-L512)/L512,"")</f>
        <v>0.32464823874836507</v>
      </c>
      <c r="Q512" s="18">
        <v>54</v>
      </c>
      <c r="R512" s="18">
        <v>8</v>
      </c>
      <c r="S512" s="18">
        <f>IF(N512&gt;0,TODAY()-N512,"")</f>
        <v>3</v>
      </c>
    </row>
    <row r="513" ht="17" customHeight="1" spans="1:19" x14ac:dyDescent="0.25">
      <c r="A513" s="3" t="s">
        <v>20</v>
      </c>
      <c r="B513" s="3" t="s">
        <v>911</v>
      </c>
      <c r="C513" s="3" t="s">
        <v>1048</v>
      </c>
      <c r="D513" s="3" t="s">
        <v>1049</v>
      </c>
      <c r="E513" s="4">
        <v>1</v>
      </c>
      <c r="F513" s="5">
        <v>13750</v>
      </c>
      <c r="G513" s="6">
        <v>45862</v>
      </c>
      <c r="H513" s="5">
        <v>13750</v>
      </c>
      <c r="I513" s="7" t="s">
        <v>24</v>
      </c>
      <c r="J513" s="5"/>
      <c r="K513" s="8" t="str">
        <f>IF(AND(H513&gt;0,J513&gt;0),(J513-H513)/H513,"")</f>
        <v/>
      </c>
      <c r="L513" s="5"/>
      <c r="M513" s="8" t="str">
        <f>IF(AND(J513&gt;0,L513&gt;0),(L513-J513)/J513,IF(AND(H513&gt;0,L513&gt;0),(L513-H513)/H513,""))</f>
        <v/>
      </c>
      <c r="N513" s="6">
        <v>45862</v>
      </c>
      <c r="O513" s="5">
        <v>13750</v>
      </c>
      <c r="P513" s="8" t="str">
        <f>IF(AND(L513&gt;0,O513&gt;0),(O513-L513)/L513,"")</f>
        <v/>
      </c>
      <c r="Q513" s="9"/>
      <c r="R513" s="9">
        <v>1</v>
      </c>
      <c r="S513" s="10">
        <f>IF(N513&gt;0,TODAY()-N513,"")</f>
        <v>249</v>
      </c>
    </row>
    <row r="514" ht="17" customHeight="1" spans="1:19" x14ac:dyDescent="0.25">
      <c r="A514" s="11" t="s">
        <v>20</v>
      </c>
      <c r="B514" s="11" t="s">
        <v>911</v>
      </c>
      <c r="C514" s="11" t="s">
        <v>1050</v>
      </c>
      <c r="D514" s="11" t="s">
        <v>1051</v>
      </c>
      <c r="E514" s="12">
        <v>69</v>
      </c>
      <c r="F514" s="13">
        <v>2053.5343921739127</v>
      </c>
      <c r="G514" s="14">
        <v>45663</v>
      </c>
      <c r="H514" s="13">
        <v>1483.7</v>
      </c>
      <c r="I514" s="15" t="s">
        <v>54</v>
      </c>
      <c r="J514" s="13">
        <v>2320.79</v>
      </c>
      <c r="K514" s="23">
        <f>IF(AND(H514&gt;0,J514&gt;0),(J514-H514)/H514,"")</f>
        <v>0.5641908741659364</v>
      </c>
      <c r="L514" s="13"/>
      <c r="M514" s="16" t="str">
        <f>IF(AND(J514&gt;0,L514&gt;0),(L514-J514)/J514,IF(AND(H514&gt;0,L514&gt;0),(L514-H514)/H514,""))</f>
        <v/>
      </c>
      <c r="N514" s="14">
        <v>46106</v>
      </c>
      <c r="O514" s="13">
        <v>2449.56</v>
      </c>
      <c r="P514" s="17">
        <f>IF(AND(L514&gt;0,O514&gt;0),(O514-L514)/L514,"")</f>
        <v>0.055485416603828865</v>
      </c>
      <c r="Q514" s="18">
        <v>49</v>
      </c>
      <c r="R514" s="18">
        <v>10</v>
      </c>
      <c r="S514" s="18">
        <f>IF(N514&gt;0,TODAY()-N514,"")</f>
        <v>5</v>
      </c>
    </row>
    <row r="515" ht="17" customHeight="1" spans="1:19" x14ac:dyDescent="0.25">
      <c r="A515" s="3" t="s">
        <v>20</v>
      </c>
      <c r="B515" s="3" t="s">
        <v>911</v>
      </c>
      <c r="C515" s="3" t="s">
        <v>1052</v>
      </c>
      <c r="D515" s="3" t="s">
        <v>1053</v>
      </c>
      <c r="E515" s="4">
        <v>41</v>
      </c>
      <c r="F515" s="5">
        <v>1778.0073170731707</v>
      </c>
      <c r="G515" s="6">
        <v>45744</v>
      </c>
      <c r="H515" s="5">
        <v>1606.8</v>
      </c>
      <c r="I515" s="7" t="s">
        <v>24</v>
      </c>
      <c r="J515" s="5"/>
      <c r="K515" s="8" t="str">
        <f>IF(AND(H515&gt;0,J515&gt;0),(J515-H515)/H515,"")</f>
        <v/>
      </c>
      <c r="L515" s="5"/>
      <c r="M515" s="8" t="str">
        <f>IF(AND(J515&gt;0,L515&gt;0),(L515-J515)/J515,IF(AND(H515&gt;0,L515&gt;0),(L515-H515)/H515,""))</f>
        <v/>
      </c>
      <c r="N515" s="6">
        <v>46059</v>
      </c>
      <c r="O515" s="5">
        <v>2220.95</v>
      </c>
      <c r="P515" s="23">
        <f>IF(AND(L515&gt;0,O515&gt;0),(O515-L515)/L515,"")</f>
        <v>0.3822193178989295</v>
      </c>
      <c r="Q515" s="9">
        <v>79</v>
      </c>
      <c r="R515" s="9">
        <v>5</v>
      </c>
      <c r="S515" s="9">
        <f>IF(N515&gt;0,TODAY()-N515,"")</f>
        <v>52</v>
      </c>
    </row>
    <row r="516" ht="17" customHeight="1" spans="1:19" x14ac:dyDescent="0.25">
      <c r="A516" s="11" t="s">
        <v>20</v>
      </c>
      <c r="B516" s="11" t="s">
        <v>911</v>
      </c>
      <c r="C516" s="11" t="s">
        <v>1054</v>
      </c>
      <c r="D516" s="11" t="s">
        <v>1055</v>
      </c>
      <c r="E516" s="12">
        <v>138</v>
      </c>
      <c r="F516" s="13">
        <v>341.5448550724638</v>
      </c>
      <c r="G516" s="14">
        <v>45917</v>
      </c>
      <c r="H516" s="13">
        <v>328.95</v>
      </c>
      <c r="I516" s="15" t="s">
        <v>24</v>
      </c>
      <c r="J516" s="13"/>
      <c r="K516" s="16" t="str">
        <f>IF(AND(H516&gt;0,J516&gt;0),(J516-H516)/H516,"")</f>
        <v/>
      </c>
      <c r="L516" s="13"/>
      <c r="M516" s="16" t="str">
        <f>IF(AND(J516&gt;0,L516&gt;0),(L516-J516)/J516,IF(AND(H516&gt;0,L516&gt;0),(L516-H516)/H516,""))</f>
        <v/>
      </c>
      <c r="N516" s="14">
        <v>46078</v>
      </c>
      <c r="O516" s="13">
        <v>348.7</v>
      </c>
      <c r="P516" s="17">
        <f>IF(AND(L516&gt;0,O516&gt;0),(O516-L516)/L516,"")</f>
        <v>0.06003951968384254</v>
      </c>
      <c r="Q516" s="18">
        <v>161</v>
      </c>
      <c r="R516" s="18">
        <v>2</v>
      </c>
      <c r="S516" s="18">
        <f>IF(N516&gt;0,TODAY()-N516,"")</f>
        <v>33</v>
      </c>
    </row>
    <row r="517" ht="17" customHeight="1" spans="1:19" x14ac:dyDescent="0.25">
      <c r="A517" s="3" t="s">
        <v>20</v>
      </c>
      <c r="B517" s="3" t="s">
        <v>911</v>
      </c>
      <c r="C517" s="3" t="s">
        <v>1056</v>
      </c>
      <c r="D517" s="3" t="s">
        <v>1057</v>
      </c>
      <c r="E517" s="4">
        <v>23</v>
      </c>
      <c r="F517" s="5">
        <v>49659.99280434783</v>
      </c>
      <c r="G517" s="6">
        <v>45698</v>
      </c>
      <c r="H517" s="5">
        <v>43000</v>
      </c>
      <c r="I517" s="7" t="s">
        <v>54</v>
      </c>
      <c r="J517" s="5">
        <v>57559.23</v>
      </c>
      <c r="K517" s="23">
        <f>IF(AND(H517&gt;0,J517&gt;0),(J517-H517)/H517,"")</f>
        <v>0.33858674418604656</v>
      </c>
      <c r="L517" s="5"/>
      <c r="M517" s="8" t="str">
        <f>IF(AND(J517&gt;0,L517&gt;0),(L517-J517)/J517,IF(AND(H517&gt;0,L517&gt;0),(L517-H517)/H517,""))</f>
        <v/>
      </c>
      <c r="N517" s="6">
        <v>46010</v>
      </c>
      <c r="O517" s="5">
        <v>57559.23</v>
      </c>
      <c r="P517" s="8" t="str">
        <f>IF(AND(L517&gt;0,O517&gt;0),(O517-L517)/L517,"")</f>
        <v/>
      </c>
      <c r="Q517" s="9">
        <v>35</v>
      </c>
      <c r="R517" s="9">
        <v>10</v>
      </c>
      <c r="S517" s="21">
        <f>IF(N517&gt;0,TODAY()-N517,"")</f>
        <v>101</v>
      </c>
    </row>
    <row r="518" ht="17" customHeight="1" spans="1:19" x14ac:dyDescent="0.25">
      <c r="A518" s="11" t="s">
        <v>20</v>
      </c>
      <c r="B518" s="11" t="s">
        <v>911</v>
      </c>
      <c r="C518" s="11" t="s">
        <v>1058</v>
      </c>
      <c r="D518" s="11" t="s">
        <v>1059</v>
      </c>
      <c r="E518" s="12">
        <v>1</v>
      </c>
      <c r="F518" s="13">
        <v>300</v>
      </c>
      <c r="G518" s="14">
        <v>45887</v>
      </c>
      <c r="H518" s="13">
        <v>300</v>
      </c>
      <c r="I518" s="15" t="s">
        <v>24</v>
      </c>
      <c r="J518" s="13"/>
      <c r="K518" s="16" t="str">
        <f>IF(AND(H518&gt;0,J518&gt;0),(J518-H518)/H518,"")</f>
        <v/>
      </c>
      <c r="L518" s="13"/>
      <c r="M518" s="16" t="str">
        <f>IF(AND(J518&gt;0,L518&gt;0),(L518-J518)/J518,IF(AND(H518&gt;0,L518&gt;0),(L518-H518)/H518,""))</f>
        <v/>
      </c>
      <c r="N518" s="14">
        <v>45887</v>
      </c>
      <c r="O518" s="13">
        <v>300</v>
      </c>
      <c r="P518" s="16" t="str">
        <f>IF(AND(L518&gt;0,O518&gt;0),(O518-L518)/L518,"")</f>
        <v/>
      </c>
      <c r="Q518" s="18"/>
      <c r="R518" s="18">
        <v>1</v>
      </c>
      <c r="S518" s="10">
        <f>IF(N518&gt;0,TODAY()-N518,"")</f>
        <v>224</v>
      </c>
    </row>
    <row r="519" ht="17" customHeight="1" spans="1:19" x14ac:dyDescent="0.25">
      <c r="A519" s="3" t="s">
        <v>20</v>
      </c>
      <c r="B519" s="3" t="s">
        <v>911</v>
      </c>
      <c r="C519" s="3" t="s">
        <v>1060</v>
      </c>
      <c r="D519" s="3" t="s">
        <v>1061</v>
      </c>
      <c r="E519" s="4">
        <v>12</v>
      </c>
      <c r="F519" s="5">
        <v>174.99166666666667</v>
      </c>
      <c r="G519" s="6">
        <v>45926</v>
      </c>
      <c r="H519" s="5">
        <v>174.99</v>
      </c>
      <c r="I519" s="7" t="s">
        <v>54</v>
      </c>
      <c r="J519" s="5">
        <v>174.99</v>
      </c>
      <c r="K519" s="24">
        <f>IF(AND(H519&gt;0,J519&gt;0),(J519-H519)/H519,"")</f>
        <v>0</v>
      </c>
      <c r="L519" s="5"/>
      <c r="M519" s="8" t="str">
        <f>IF(AND(J519&gt;0,L519&gt;0),(L519-J519)/J519,IF(AND(H519&gt;0,L519&gt;0),(L519-H519)/H519,""))</f>
        <v/>
      </c>
      <c r="N519" s="6">
        <v>46010</v>
      </c>
      <c r="O519" s="5">
        <v>174.99</v>
      </c>
      <c r="P519" s="8" t="str">
        <f>IF(AND(L519&gt;0,O519&gt;0),(O519-L519)/L519,"")</f>
        <v/>
      </c>
      <c r="Q519" s="9">
        <v>84</v>
      </c>
      <c r="R519" s="9">
        <v>2</v>
      </c>
      <c r="S519" s="21">
        <f>IF(N519&gt;0,TODAY()-N519,"")</f>
        <v>101</v>
      </c>
    </row>
    <row r="520" ht="17" customHeight="1" spans="1:19" x14ac:dyDescent="0.25">
      <c r="A520" s="11" t="s">
        <v>20</v>
      </c>
      <c r="B520" s="11" t="s">
        <v>911</v>
      </c>
      <c r="C520" s="11" t="s">
        <v>1062</v>
      </c>
      <c r="D520" s="11" t="s">
        <v>1063</v>
      </c>
      <c r="E520" s="12">
        <v>16</v>
      </c>
      <c r="F520" s="13">
        <v>3247.359375</v>
      </c>
      <c r="G520" s="14">
        <v>45708</v>
      </c>
      <c r="H520" s="13">
        <v>2457</v>
      </c>
      <c r="I520" s="15" t="s">
        <v>24</v>
      </c>
      <c r="J520" s="13"/>
      <c r="K520" s="16" t="str">
        <f>IF(AND(H520&gt;0,J520&gt;0),(J520-H520)/H520,"")</f>
        <v/>
      </c>
      <c r="L520" s="13"/>
      <c r="M520" s="16" t="str">
        <f>IF(AND(J520&gt;0,L520&gt;0),(L520-J520)/J520,IF(AND(H520&gt;0,L520&gt;0),(L520-H520)/H520,""))</f>
        <v/>
      </c>
      <c r="N520" s="14">
        <v>46056</v>
      </c>
      <c r="O520" s="13">
        <v>3552.55</v>
      </c>
      <c r="P520" s="23">
        <f>IF(AND(L520&gt;0,O520&gt;0),(O520-L520)/L520,"")</f>
        <v>0.44588929588929604</v>
      </c>
      <c r="Q520" s="18">
        <v>70</v>
      </c>
      <c r="R520" s="18">
        <v>6</v>
      </c>
      <c r="S520" s="18">
        <f>IF(N520&gt;0,TODAY()-N520,"")</f>
        <v>55</v>
      </c>
    </row>
    <row r="521" ht="17" customHeight="1" spans="1:19" x14ac:dyDescent="0.25">
      <c r="A521" s="3" t="s">
        <v>20</v>
      </c>
      <c r="B521" s="3" t="s">
        <v>911</v>
      </c>
      <c r="C521" s="3" t="s">
        <v>1064</v>
      </c>
      <c r="D521" s="3" t="s">
        <v>1065</v>
      </c>
      <c r="E521" s="4">
        <v>209</v>
      </c>
      <c r="F521" s="5">
        <v>2835.698086124402</v>
      </c>
      <c r="G521" s="6">
        <v>45744</v>
      </c>
      <c r="H521" s="5">
        <v>2472</v>
      </c>
      <c r="I521" s="7" t="s">
        <v>24</v>
      </c>
      <c r="J521" s="5"/>
      <c r="K521" s="8" t="str">
        <f>IF(AND(H521&gt;0,J521&gt;0),(J521-H521)/H521,"")</f>
        <v/>
      </c>
      <c r="L521" s="5">
        <v>3051</v>
      </c>
      <c r="M521" s="22">
        <f>IF(AND(J521&gt;0,L521&gt;0),(L521-J521)/J521,IF(AND(H521&gt;0,L521&gt;0),(L521-H521)/H521,""))</f>
        <v>0.2342233009708738</v>
      </c>
      <c r="N521" s="6">
        <v>46099</v>
      </c>
      <c r="O521" s="5">
        <v>3072</v>
      </c>
      <c r="P521" s="24">
        <f>IF(AND(L521&gt;0,O521&gt;0),(O521-L521)/L521,"")</f>
        <v>0.00688298918387414</v>
      </c>
      <c r="Q521" s="9">
        <v>44</v>
      </c>
      <c r="R521" s="9">
        <v>9</v>
      </c>
      <c r="S521" s="9">
        <f>IF(N521&gt;0,TODAY()-N521,"")</f>
        <v>12</v>
      </c>
    </row>
    <row r="522" ht="17" customHeight="1" spans="1:19" x14ac:dyDescent="0.25">
      <c r="A522" s="11" t="s">
        <v>20</v>
      </c>
      <c r="B522" s="11" t="s">
        <v>911</v>
      </c>
      <c r="C522" s="11" t="s">
        <v>1066</v>
      </c>
      <c r="D522" s="11" t="s">
        <v>1065</v>
      </c>
      <c r="E522" s="12">
        <v>136</v>
      </c>
      <c r="F522" s="13">
        <v>2507.279411764706</v>
      </c>
      <c r="G522" s="14">
        <v>45862</v>
      </c>
      <c r="H522" s="13">
        <v>2444</v>
      </c>
      <c r="I522" s="15" t="s">
        <v>54</v>
      </c>
      <c r="J522" s="13">
        <v>2581.8</v>
      </c>
      <c r="K522" s="17">
        <f>IF(AND(H522&gt;0,J522&gt;0),(J522-H522)/H522,"")</f>
        <v>0.05638297872340434</v>
      </c>
      <c r="L522" s="13"/>
      <c r="M522" s="16" t="str">
        <f>IF(AND(J522&gt;0,L522&gt;0),(L522-J522)/J522,IF(AND(H522&gt;0,L522&gt;0),(L522-H522)/H522,""))</f>
        <v/>
      </c>
      <c r="N522" s="14">
        <v>45999</v>
      </c>
      <c r="O522" s="13">
        <v>2581.8</v>
      </c>
      <c r="P522" s="16" t="str">
        <f>IF(AND(L522&gt;0,O522&gt;0),(O522-L522)/L522,"")</f>
        <v/>
      </c>
      <c r="Q522" s="18">
        <v>27</v>
      </c>
      <c r="R522" s="18">
        <v>6</v>
      </c>
      <c r="S522" s="21">
        <f>IF(N522&gt;0,TODAY()-N522,"")</f>
        <v>112</v>
      </c>
    </row>
    <row r="523" ht="17" customHeight="1" spans="1:19" x14ac:dyDescent="0.25">
      <c r="A523" s="3" t="s">
        <v>20</v>
      </c>
      <c r="B523" s="3" t="s">
        <v>911</v>
      </c>
      <c r="C523" s="3" t="s">
        <v>1067</v>
      </c>
      <c r="D523" s="3" t="s">
        <v>1068</v>
      </c>
      <c r="E523" s="4">
        <v>52</v>
      </c>
      <c r="F523" s="5">
        <v>2218.689423076923</v>
      </c>
      <c r="G523" s="6">
        <v>45691</v>
      </c>
      <c r="H523" s="5">
        <v>2870.23</v>
      </c>
      <c r="I523" s="7" t="s">
        <v>24</v>
      </c>
      <c r="J523" s="5"/>
      <c r="K523" s="8" t="str">
        <f>IF(AND(H523&gt;0,J523&gt;0),(J523-H523)/H523,"")</f>
        <v/>
      </c>
      <c r="L523" s="5"/>
      <c r="M523" s="8" t="str">
        <f>IF(AND(J523&gt;0,L523&gt;0),(L523-J523)/J523,IF(AND(H523&gt;0,L523&gt;0),(L523-H523)/H523,""))</f>
        <v/>
      </c>
      <c r="N523" s="6">
        <v>45751</v>
      </c>
      <c r="O523" s="5">
        <v>2160.05</v>
      </c>
      <c r="P523" s="8" t="str">
        <f>IF(AND(L523&gt;0,O523&gt;0),(O523-L523)/L523,"")</f>
        <v/>
      </c>
      <c r="Q523" s="9">
        <v>30</v>
      </c>
      <c r="R523" s="9">
        <v>3</v>
      </c>
      <c r="S523" s="10">
        <f>IF(N523&gt;0,TODAY()-N523,"")</f>
        <v>360</v>
      </c>
    </row>
    <row r="524" ht="17" customHeight="1" spans="1:19" x14ac:dyDescent="0.25">
      <c r="A524" s="11" t="s">
        <v>20</v>
      </c>
      <c r="B524" s="11" t="s">
        <v>911</v>
      </c>
      <c r="C524" s="11" t="s">
        <v>1069</v>
      </c>
      <c r="D524" s="11" t="s">
        <v>1070</v>
      </c>
      <c r="E524" s="12">
        <v>3</v>
      </c>
      <c r="F524" s="13">
        <v>3546.6666666666665</v>
      </c>
      <c r="G524" s="14">
        <v>45681</v>
      </c>
      <c r="H524" s="13">
        <v>3546.67</v>
      </c>
      <c r="I524" s="15" t="s">
        <v>24</v>
      </c>
      <c r="J524" s="13"/>
      <c r="K524" s="16" t="str">
        <f>IF(AND(H524&gt;0,J524&gt;0),(J524-H524)/H524,"")</f>
        <v/>
      </c>
      <c r="L524" s="13"/>
      <c r="M524" s="16" t="str">
        <f>IF(AND(J524&gt;0,L524&gt;0),(L524-J524)/J524,IF(AND(H524&gt;0,L524&gt;0),(L524-H524)/H524,""))</f>
        <v/>
      </c>
      <c r="N524" s="14">
        <v>45681</v>
      </c>
      <c r="O524" s="13">
        <v>3546.67</v>
      </c>
      <c r="P524" s="16" t="str">
        <f>IF(AND(L524&gt;0,O524&gt;0),(O524-L524)/L524,"")</f>
        <v/>
      </c>
      <c r="Q524" s="18"/>
      <c r="R524" s="18">
        <v>1</v>
      </c>
      <c r="S524" s="10">
        <f>IF(N524&gt;0,TODAY()-N524,"")</f>
        <v>430</v>
      </c>
    </row>
    <row r="525" ht="17" customHeight="1" spans="1:19" x14ac:dyDescent="0.25">
      <c r="A525" s="3" t="s">
        <v>20</v>
      </c>
      <c r="B525" s="3" t="s">
        <v>911</v>
      </c>
      <c r="C525" s="3" t="s">
        <v>1071</v>
      </c>
      <c r="D525" s="3" t="s">
        <v>1072</v>
      </c>
      <c r="E525" s="4">
        <v>45</v>
      </c>
      <c r="F525" s="5">
        <v>3491.6846666666665</v>
      </c>
      <c r="G525" s="6">
        <v>45671</v>
      </c>
      <c r="H525" s="5">
        <v>2711.66</v>
      </c>
      <c r="I525" s="7" t="s">
        <v>54</v>
      </c>
      <c r="J525" s="5">
        <v>4382.66</v>
      </c>
      <c r="K525" s="23">
        <f>IF(AND(H525&gt;0,J525&gt;0),(J525-H525)/H525,"")</f>
        <v>0.616227698162749</v>
      </c>
      <c r="L525" s="5"/>
      <c r="M525" s="8" t="str">
        <f>IF(AND(J525&gt;0,L525&gt;0),(L525-J525)/J525,IF(AND(H525&gt;0,L525&gt;0),(L525-H525)/H525,""))</f>
        <v/>
      </c>
      <c r="N525" s="6">
        <v>46002</v>
      </c>
      <c r="O525" s="5">
        <v>4382.66</v>
      </c>
      <c r="P525" s="8" t="str">
        <f>IF(AND(L525&gt;0,O525&gt;0),(O525-L525)/L525,"")</f>
        <v/>
      </c>
      <c r="Q525" s="9">
        <v>66</v>
      </c>
      <c r="R525" s="9">
        <v>6</v>
      </c>
      <c r="S525" s="21">
        <f>IF(N525&gt;0,TODAY()-N525,"")</f>
        <v>109</v>
      </c>
    </row>
    <row r="526" ht="17" customHeight="1" spans="1:19" x14ac:dyDescent="0.25">
      <c r="A526" s="11" t="s">
        <v>20</v>
      </c>
      <c r="B526" s="11" t="s">
        <v>911</v>
      </c>
      <c r="C526" s="11" t="s">
        <v>1073</v>
      </c>
      <c r="D526" s="11" t="s">
        <v>1074</v>
      </c>
      <c r="E526" s="12">
        <v>88</v>
      </c>
      <c r="F526" s="13">
        <v>3249.966477272728</v>
      </c>
      <c r="G526" s="14">
        <v>45744</v>
      </c>
      <c r="H526" s="13">
        <v>2925.2</v>
      </c>
      <c r="I526" s="15" t="s">
        <v>24</v>
      </c>
      <c r="J526" s="13"/>
      <c r="K526" s="16" t="str">
        <f>IF(AND(H526&gt;0,J526&gt;0),(J526-H526)/H526,"")</f>
        <v/>
      </c>
      <c r="L526" s="13">
        <v>3610.35</v>
      </c>
      <c r="M526" s="20">
        <f>IF(AND(J526&gt;0,L526&gt;0),(L526-J526)/J526,IF(AND(H526&gt;0,L526&gt;0),(L526-H526)/H526,""))</f>
        <v>0.23422330097087382</v>
      </c>
      <c r="N526" s="14">
        <v>46099</v>
      </c>
      <c r="O526" s="13">
        <v>3532.8</v>
      </c>
      <c r="P526" s="25">
        <f>IF(AND(L526&gt;0,O526&gt;0),(O526-L526)/L526,"")</f>
        <v>-0.02147991191989689</v>
      </c>
      <c r="Q526" s="18">
        <v>51</v>
      </c>
      <c r="R526" s="18">
        <v>8</v>
      </c>
      <c r="S526" s="18">
        <f>IF(N526&gt;0,TODAY()-N526,"")</f>
        <v>12</v>
      </c>
    </row>
    <row r="527" ht="17" customHeight="1" spans="1:19" x14ac:dyDescent="0.25">
      <c r="A527" s="3" t="s">
        <v>20</v>
      </c>
      <c r="B527" s="3" t="s">
        <v>911</v>
      </c>
      <c r="C527" s="3" t="s">
        <v>1075</v>
      </c>
      <c r="D527" s="3" t="s">
        <v>1074</v>
      </c>
      <c r="E527" s="4">
        <v>25</v>
      </c>
      <c r="F527" s="5">
        <v>3340.29</v>
      </c>
      <c r="G527" s="6">
        <v>45874</v>
      </c>
      <c r="H527" s="5">
        <v>3256.8</v>
      </c>
      <c r="I527" s="7" t="s">
        <v>24</v>
      </c>
      <c r="J527" s="5"/>
      <c r="K527" s="8" t="str">
        <f>IF(AND(H527&gt;0,J527&gt;0),(J527-H527)/H527,"")</f>
        <v/>
      </c>
      <c r="L527" s="5">
        <v>3508.65</v>
      </c>
      <c r="M527" s="24">
        <f>IF(AND(J527&gt;0,L527&gt;0),(L527-J527)/J527,IF(AND(H527&gt;0,L527&gt;0),(L527-H527)/H527,""))</f>
        <v>0.07733050847457625</v>
      </c>
      <c r="N527" s="6">
        <v>46044</v>
      </c>
      <c r="O527" s="5">
        <v>3508.65</v>
      </c>
      <c r="P527" s="8" t="str">
        <f>IF(AND(L527&gt;0,O527&gt;0),(O527-L527)/L527,"")</f>
        <v/>
      </c>
      <c r="Q527" s="9">
        <v>43</v>
      </c>
      <c r="R527" s="9">
        <v>5</v>
      </c>
      <c r="S527" s="19">
        <f>IF(N527&gt;0,TODAY()-N527,"")</f>
        <v>67</v>
      </c>
    </row>
    <row r="528" ht="17" customHeight="1" spans="1:19" x14ac:dyDescent="0.25">
      <c r="A528" s="11" t="s">
        <v>20</v>
      </c>
      <c r="B528" s="11" t="s">
        <v>911</v>
      </c>
      <c r="C528" s="11" t="s">
        <v>1076</v>
      </c>
      <c r="D528" s="11" t="s">
        <v>1077</v>
      </c>
      <c r="E528" s="12">
        <v>45</v>
      </c>
      <c r="F528" s="13">
        <v>3252.2691111111108</v>
      </c>
      <c r="G528" s="14">
        <v>45713</v>
      </c>
      <c r="H528" s="13">
        <v>3273.5</v>
      </c>
      <c r="I528" s="15" t="s">
        <v>24</v>
      </c>
      <c r="J528" s="13"/>
      <c r="K528" s="16" t="str">
        <f>IF(AND(H528&gt;0,J528&gt;0),(J528-H528)/H528,"")</f>
        <v/>
      </c>
      <c r="L528" s="13"/>
      <c r="M528" s="16" t="str">
        <f>IF(AND(J528&gt;0,L528&gt;0),(L528-J528)/J528,IF(AND(H528&gt;0,L528&gt;0),(L528-H528)/H528,""))</f>
        <v/>
      </c>
      <c r="N528" s="14">
        <v>45751</v>
      </c>
      <c r="O528" s="13">
        <v>3264.07</v>
      </c>
      <c r="P528" s="16" t="str">
        <f>IF(AND(L528&gt;0,O528&gt;0),(O528-L528)/L528,"")</f>
        <v/>
      </c>
      <c r="Q528" s="18">
        <v>19</v>
      </c>
      <c r="R528" s="18">
        <v>3</v>
      </c>
      <c r="S528" s="10">
        <f>IF(N528&gt;0,TODAY()-N528,"")</f>
        <v>360</v>
      </c>
    </row>
    <row r="529" ht="17" customHeight="1" spans="1:19" x14ac:dyDescent="0.25">
      <c r="A529" s="3" t="s">
        <v>20</v>
      </c>
      <c r="B529" s="3" t="s">
        <v>911</v>
      </c>
      <c r="C529" s="3" t="s">
        <v>1078</v>
      </c>
      <c r="D529" s="3" t="s">
        <v>1079</v>
      </c>
      <c r="E529" s="4">
        <v>2</v>
      </c>
      <c r="F529" s="5">
        <v>7608.335</v>
      </c>
      <c r="G529" s="6">
        <v>45681</v>
      </c>
      <c r="H529" s="5">
        <v>6966.67</v>
      </c>
      <c r="I529" s="7" t="s">
        <v>24</v>
      </c>
      <c r="J529" s="5"/>
      <c r="K529" s="8" t="str">
        <f>IF(AND(H529&gt;0,J529&gt;0),(J529-H529)/H529,"")</f>
        <v/>
      </c>
      <c r="L529" s="5"/>
      <c r="M529" s="8" t="str">
        <f>IF(AND(J529&gt;0,L529&gt;0),(L529-J529)/J529,IF(AND(H529&gt;0,L529&gt;0),(L529-H529)/H529,""))</f>
        <v/>
      </c>
      <c r="N529" s="6">
        <v>45824</v>
      </c>
      <c r="O529" s="5">
        <v>8250</v>
      </c>
      <c r="P529" s="8" t="str">
        <f>IF(AND(L529&gt;0,O529&gt;0),(O529-L529)/L529,"")</f>
        <v/>
      </c>
      <c r="Q529" s="9">
        <v>143</v>
      </c>
      <c r="R529" s="9">
        <v>2</v>
      </c>
      <c r="S529" s="10">
        <f>IF(N529&gt;0,TODAY()-N529,"")</f>
        <v>287</v>
      </c>
    </row>
    <row r="530" ht="17" customHeight="1" spans="1:19" x14ac:dyDescent="0.25">
      <c r="A530" s="11" t="s">
        <v>20</v>
      </c>
      <c r="B530" s="11" t="s">
        <v>911</v>
      </c>
      <c r="C530" s="11" t="s">
        <v>1080</v>
      </c>
      <c r="D530" s="11" t="s">
        <v>1081</v>
      </c>
      <c r="E530" s="12">
        <v>21</v>
      </c>
      <c r="F530" s="13">
        <v>3716.5561904761907</v>
      </c>
      <c r="G530" s="14">
        <v>45702</v>
      </c>
      <c r="H530" s="13">
        <v>3594.08</v>
      </c>
      <c r="I530" s="15" t="s">
        <v>24</v>
      </c>
      <c r="J530" s="13"/>
      <c r="K530" s="16" t="str">
        <f>IF(AND(H530&gt;0,J530&gt;0),(J530-H530)/H530,"")</f>
        <v/>
      </c>
      <c r="L530" s="13"/>
      <c r="M530" s="16" t="str">
        <f>IF(AND(J530&gt;0,L530&gt;0),(L530-J530)/J530,IF(AND(H530&gt;0,L530&gt;0),(L530-H530)/H530,""))</f>
        <v/>
      </c>
      <c r="N530" s="14">
        <v>45726</v>
      </c>
      <c r="O530" s="13">
        <v>3899.31</v>
      </c>
      <c r="P530" s="16" t="str">
        <f>IF(AND(L530&gt;0,O530&gt;0),(O530-L530)/L530,"")</f>
        <v/>
      </c>
      <c r="Q530" s="18">
        <v>12</v>
      </c>
      <c r="R530" s="18">
        <v>3</v>
      </c>
      <c r="S530" s="10">
        <f>IF(N530&gt;0,TODAY()-N530,"")</f>
        <v>385</v>
      </c>
    </row>
    <row r="531" ht="17" customHeight="1" spans="1:19" x14ac:dyDescent="0.25">
      <c r="A531" s="3" t="s">
        <v>20</v>
      </c>
      <c r="B531" s="3" t="s">
        <v>911</v>
      </c>
      <c r="C531" s="3" t="s">
        <v>1082</v>
      </c>
      <c r="D531" s="3" t="s">
        <v>1083</v>
      </c>
      <c r="E531" s="4">
        <v>38</v>
      </c>
      <c r="F531" s="5">
        <v>3914.8578947368424</v>
      </c>
      <c r="G531" s="6">
        <v>45744</v>
      </c>
      <c r="H531" s="5">
        <v>3378.4</v>
      </c>
      <c r="I531" s="7" t="s">
        <v>24</v>
      </c>
      <c r="J531" s="5"/>
      <c r="K531" s="8" t="str">
        <f>IF(AND(H531&gt;0,J531&gt;0),(J531-H531)/H531,"")</f>
        <v/>
      </c>
      <c r="L531" s="5">
        <v>4169.7</v>
      </c>
      <c r="M531" s="22">
        <f>IF(AND(J531&gt;0,L531&gt;0),(L531-J531)/J531,IF(AND(H531&gt;0,L531&gt;0),(L531-H531)/H531,""))</f>
        <v>0.2342233009708737</v>
      </c>
      <c r="N531" s="6">
        <v>46099</v>
      </c>
      <c r="O531" s="5">
        <v>4864</v>
      </c>
      <c r="P531" s="22">
        <f>IF(AND(L531&gt;0,O531&gt;0),(O531-L531)/L531,"")</f>
        <v>0.16651078015204937</v>
      </c>
      <c r="Q531" s="9">
        <v>71</v>
      </c>
      <c r="R531" s="9">
        <v>6</v>
      </c>
      <c r="S531" s="9">
        <f>IF(N531&gt;0,TODAY()-N531,"")</f>
        <v>12</v>
      </c>
    </row>
    <row r="532" ht="17" customHeight="1" spans="1:19" x14ac:dyDescent="0.25">
      <c r="A532" s="11" t="s">
        <v>20</v>
      </c>
      <c r="B532" s="11" t="s">
        <v>911</v>
      </c>
      <c r="C532" s="11" t="s">
        <v>1084</v>
      </c>
      <c r="D532" s="11" t="s">
        <v>1085</v>
      </c>
      <c r="E532" s="12">
        <v>16</v>
      </c>
      <c r="F532" s="13">
        <v>3669.13</v>
      </c>
      <c r="G532" s="14">
        <v>45713</v>
      </c>
      <c r="H532" s="13">
        <v>3505.13</v>
      </c>
      <c r="I532" s="15" t="s">
        <v>24</v>
      </c>
      <c r="J532" s="13"/>
      <c r="K532" s="16" t="str">
        <f>IF(AND(H532&gt;0,J532&gt;0),(J532-H532)/H532,"")</f>
        <v/>
      </c>
      <c r="L532" s="13"/>
      <c r="M532" s="16" t="str">
        <f>IF(AND(J532&gt;0,L532&gt;0),(L532-J532)/J532,IF(AND(H532&gt;0,L532&gt;0),(L532-H532)/H532,""))</f>
        <v/>
      </c>
      <c r="N532" s="14">
        <v>45751</v>
      </c>
      <c r="O532" s="13">
        <v>3312.07</v>
      </c>
      <c r="P532" s="16" t="str">
        <f>IF(AND(L532&gt;0,O532&gt;0),(O532-L532)/L532,"")</f>
        <v/>
      </c>
      <c r="Q532" s="18">
        <v>19</v>
      </c>
      <c r="R532" s="18">
        <v>3</v>
      </c>
      <c r="S532" s="10">
        <f>IF(N532&gt;0,TODAY()-N532,"")</f>
        <v>360</v>
      </c>
    </row>
    <row r="533" ht="17" customHeight="1" spans="1:19" x14ac:dyDescent="0.25">
      <c r="A533" s="3" t="s">
        <v>20</v>
      </c>
      <c r="B533" s="3" t="s">
        <v>911</v>
      </c>
      <c r="C533" s="3" t="s">
        <v>1086</v>
      </c>
      <c r="D533" s="3" t="s">
        <v>1087</v>
      </c>
      <c r="E533" s="4">
        <v>1</v>
      </c>
      <c r="F533" s="5">
        <v>6356.25</v>
      </c>
      <c r="G533" s="6">
        <v>46044</v>
      </c>
      <c r="H533" s="5">
        <v>6356.25</v>
      </c>
      <c r="I533" s="7" t="s">
        <v>24</v>
      </c>
      <c r="J533" s="5"/>
      <c r="K533" s="8" t="str">
        <f>IF(AND(H533&gt;0,J533&gt;0),(J533-H533)/H533,"")</f>
        <v/>
      </c>
      <c r="L533" s="5">
        <v>6356.25</v>
      </c>
      <c r="M533" s="24">
        <f>IF(AND(J533&gt;0,L533&gt;0),(L533-J533)/J533,IF(AND(H533&gt;0,L533&gt;0),(L533-H533)/H533,""))</f>
        <v>0</v>
      </c>
      <c r="N533" s="6">
        <v>46044</v>
      </c>
      <c r="O533" s="5">
        <v>6356.25</v>
      </c>
      <c r="P533" s="8" t="str">
        <f>IF(AND(L533&gt;0,O533&gt;0),(O533-L533)/L533,"")</f>
        <v/>
      </c>
      <c r="Q533" s="9"/>
      <c r="R533" s="9">
        <v>1</v>
      </c>
      <c r="S533" s="19">
        <f>IF(N533&gt;0,TODAY()-N533,"")</f>
        <v>67</v>
      </c>
    </row>
    <row r="534" ht="17" customHeight="1" spans="1:19" x14ac:dyDescent="0.25">
      <c r="A534" s="11" t="s">
        <v>20</v>
      </c>
      <c r="B534" s="11" t="s">
        <v>911</v>
      </c>
      <c r="C534" s="11" t="s">
        <v>1088</v>
      </c>
      <c r="D534" s="11" t="s">
        <v>1089</v>
      </c>
      <c r="E534" s="12">
        <v>3</v>
      </c>
      <c r="F534" s="13">
        <v>2081.556666666667</v>
      </c>
      <c r="G534" s="14">
        <v>45754</v>
      </c>
      <c r="H534" s="13">
        <v>2081.56</v>
      </c>
      <c r="I534" s="15" t="s">
        <v>24</v>
      </c>
      <c r="J534" s="13"/>
      <c r="K534" s="16" t="str">
        <f>IF(AND(H534&gt;0,J534&gt;0),(J534-H534)/H534,"")</f>
        <v/>
      </c>
      <c r="L534" s="13"/>
      <c r="M534" s="16" t="str">
        <f>IF(AND(J534&gt;0,L534&gt;0),(L534-J534)/J534,IF(AND(H534&gt;0,L534&gt;0),(L534-H534)/H534,""))</f>
        <v/>
      </c>
      <c r="N534" s="14">
        <v>45754</v>
      </c>
      <c r="O534" s="13">
        <v>2081.56</v>
      </c>
      <c r="P534" s="16" t="str">
        <f>IF(AND(L534&gt;0,O534&gt;0),(O534-L534)/L534,"")</f>
        <v/>
      </c>
      <c r="Q534" s="18"/>
      <c r="R534" s="18">
        <v>1</v>
      </c>
      <c r="S534" s="10">
        <f>IF(N534&gt;0,TODAY()-N534,"")</f>
        <v>357</v>
      </c>
    </row>
    <row r="535" ht="17" customHeight="1" spans="1:19" x14ac:dyDescent="0.25">
      <c r="A535" s="3" t="s">
        <v>20</v>
      </c>
      <c r="B535" s="3" t="s">
        <v>911</v>
      </c>
      <c r="C535" s="3" t="s">
        <v>1090</v>
      </c>
      <c r="D535" s="3" t="s">
        <v>1091</v>
      </c>
      <c r="E535" s="4">
        <v>3</v>
      </c>
      <c r="F535" s="5">
        <v>6472.7733333333335</v>
      </c>
      <c r="G535" s="6">
        <v>45713</v>
      </c>
      <c r="H535" s="5">
        <v>6658.4</v>
      </c>
      <c r="I535" s="7" t="s">
        <v>24</v>
      </c>
      <c r="J535" s="5"/>
      <c r="K535" s="8" t="str">
        <f>IF(AND(H535&gt;0,J535&gt;0),(J535-H535)/H535,"")</f>
        <v/>
      </c>
      <c r="L535" s="5">
        <v>6379.96</v>
      </c>
      <c r="M535" s="26">
        <f>IF(AND(J535&gt;0,L535&gt;0),(L535-J535)/J535,IF(AND(H535&gt;0,L535&gt;0),(L535-H535)/H535,""))</f>
        <v>-0.041817854139132464</v>
      </c>
      <c r="N535" s="6">
        <v>46050</v>
      </c>
      <c r="O535" s="5">
        <v>6379.96</v>
      </c>
      <c r="P535" s="8" t="str">
        <f>IF(AND(L535&gt;0,O535&gt;0),(O535-L535)/L535,"")</f>
        <v/>
      </c>
      <c r="Q535" s="9">
        <v>337</v>
      </c>
      <c r="R535" s="9">
        <v>2</v>
      </c>
      <c r="S535" s="19">
        <f>IF(N535&gt;0,TODAY()-N535,"")</f>
        <v>61</v>
      </c>
    </row>
    <row r="536" ht="17" customHeight="1" spans="1:19" x14ac:dyDescent="0.25">
      <c r="A536" s="11" t="s">
        <v>20</v>
      </c>
      <c r="B536" s="11" t="s">
        <v>911</v>
      </c>
      <c r="C536" s="11" t="s">
        <v>1092</v>
      </c>
      <c r="D536" s="11" t="s">
        <v>1093</v>
      </c>
      <c r="E536" s="12">
        <v>8</v>
      </c>
      <c r="F536" s="13">
        <v>4532</v>
      </c>
      <c r="G536" s="14">
        <v>45744</v>
      </c>
      <c r="H536" s="13">
        <v>4532</v>
      </c>
      <c r="I536" s="15" t="s">
        <v>24</v>
      </c>
      <c r="J536" s="13"/>
      <c r="K536" s="16" t="str">
        <f>IF(AND(H536&gt;0,J536&gt;0),(J536-H536)/H536,"")</f>
        <v/>
      </c>
      <c r="L536" s="13"/>
      <c r="M536" s="16" t="str">
        <f>IF(AND(J536&gt;0,L536&gt;0),(L536-J536)/J536,IF(AND(H536&gt;0,L536&gt;0),(L536-H536)/H536,""))</f>
        <v/>
      </c>
      <c r="N536" s="14">
        <v>45744</v>
      </c>
      <c r="O536" s="13">
        <v>4532</v>
      </c>
      <c r="P536" s="16" t="str">
        <f>IF(AND(L536&gt;0,O536&gt;0),(O536-L536)/L536,"")</f>
        <v/>
      </c>
      <c r="Q536" s="18"/>
      <c r="R536" s="18">
        <v>1</v>
      </c>
      <c r="S536" s="10">
        <f>IF(N536&gt;0,TODAY()-N536,"")</f>
        <v>367</v>
      </c>
    </row>
    <row r="537" ht="17" customHeight="1" spans="1:19" x14ac:dyDescent="0.25">
      <c r="A537" s="3" t="s">
        <v>20</v>
      </c>
      <c r="B537" s="3" t="s">
        <v>911</v>
      </c>
      <c r="C537" s="3" t="s">
        <v>1094</v>
      </c>
      <c r="D537" s="3" t="s">
        <v>1095</v>
      </c>
      <c r="E537" s="4">
        <v>9</v>
      </c>
      <c r="F537" s="5">
        <v>4890.509999999999</v>
      </c>
      <c r="G537" s="6">
        <v>45713</v>
      </c>
      <c r="H537" s="5">
        <v>5167.33</v>
      </c>
      <c r="I537" s="7" t="s">
        <v>24</v>
      </c>
      <c r="J537" s="5"/>
      <c r="K537" s="8" t="str">
        <f>IF(AND(H537&gt;0,J537&gt;0),(J537-H537)/H537,"")</f>
        <v/>
      </c>
      <c r="L537" s="5"/>
      <c r="M537" s="8" t="str">
        <f>IF(AND(J537&gt;0,L537&gt;0),(L537-J537)/J537,IF(AND(H537&gt;0,L537&gt;0),(L537-H537)/H537,""))</f>
        <v/>
      </c>
      <c r="N537" s="6">
        <v>45751</v>
      </c>
      <c r="O537" s="5">
        <v>4752.1</v>
      </c>
      <c r="P537" s="8" t="str">
        <f>IF(AND(L537&gt;0,O537&gt;0),(O537-L537)/L537,"")</f>
        <v/>
      </c>
      <c r="Q537" s="9">
        <v>38</v>
      </c>
      <c r="R537" s="9">
        <v>2</v>
      </c>
      <c r="S537" s="10">
        <f>IF(N537&gt;0,TODAY()-N537,"")</f>
        <v>360</v>
      </c>
    </row>
    <row r="538" ht="17" customHeight="1" spans="1:19" x14ac:dyDescent="0.25">
      <c r="A538" s="11" t="s">
        <v>20</v>
      </c>
      <c r="B538" s="11" t="s">
        <v>911</v>
      </c>
      <c r="C538" s="11" t="s">
        <v>1096</v>
      </c>
      <c r="D538" s="11" t="s">
        <v>1097</v>
      </c>
      <c r="E538" s="12">
        <v>1</v>
      </c>
      <c r="F538" s="13">
        <v>2337.5</v>
      </c>
      <c r="G538" s="14">
        <v>45779</v>
      </c>
      <c r="H538" s="13">
        <v>2337.5</v>
      </c>
      <c r="I538" s="15" t="s">
        <v>24</v>
      </c>
      <c r="J538" s="13"/>
      <c r="K538" s="16" t="str">
        <f>IF(AND(H538&gt;0,J538&gt;0),(J538-H538)/H538,"")</f>
        <v/>
      </c>
      <c r="L538" s="13"/>
      <c r="M538" s="16" t="str">
        <f>IF(AND(J538&gt;0,L538&gt;0),(L538-J538)/J538,IF(AND(H538&gt;0,L538&gt;0),(L538-H538)/H538,""))</f>
        <v/>
      </c>
      <c r="N538" s="14">
        <v>45779</v>
      </c>
      <c r="O538" s="13">
        <v>2337.5</v>
      </c>
      <c r="P538" s="16" t="str">
        <f>IF(AND(L538&gt;0,O538&gt;0),(O538-L538)/L538,"")</f>
        <v/>
      </c>
      <c r="Q538" s="18"/>
      <c r="R538" s="18">
        <v>1</v>
      </c>
      <c r="S538" s="10">
        <f>IF(N538&gt;0,TODAY()-N538,"")</f>
        <v>332</v>
      </c>
    </row>
    <row r="539" ht="17" customHeight="1" spans="1:19" x14ac:dyDescent="0.25">
      <c r="A539" s="3" t="s">
        <v>20</v>
      </c>
      <c r="B539" s="3" t="s">
        <v>911</v>
      </c>
      <c r="C539" s="3" t="s">
        <v>1098</v>
      </c>
      <c r="D539" s="3" t="s">
        <v>1099</v>
      </c>
      <c r="E539" s="4">
        <v>3</v>
      </c>
      <c r="F539" s="5">
        <v>15620.800000000001</v>
      </c>
      <c r="G539" s="6">
        <v>45726</v>
      </c>
      <c r="H539" s="5">
        <v>15620.8</v>
      </c>
      <c r="I539" s="7" t="s">
        <v>24</v>
      </c>
      <c r="J539" s="5"/>
      <c r="K539" s="8" t="str">
        <f>IF(AND(H539&gt;0,J539&gt;0),(J539-H539)/H539,"")</f>
        <v/>
      </c>
      <c r="L539" s="5"/>
      <c r="M539" s="8" t="str">
        <f>IF(AND(J539&gt;0,L539&gt;0),(L539-J539)/J539,IF(AND(H539&gt;0,L539&gt;0),(L539-H539)/H539,""))</f>
        <v/>
      </c>
      <c r="N539" s="6">
        <v>45726</v>
      </c>
      <c r="O539" s="5">
        <v>15620.8</v>
      </c>
      <c r="P539" s="8" t="str">
        <f>IF(AND(L539&gt;0,O539&gt;0),(O539-L539)/L539,"")</f>
        <v/>
      </c>
      <c r="Q539" s="9"/>
      <c r="R539" s="9">
        <v>1</v>
      </c>
      <c r="S539" s="10">
        <f>IF(N539&gt;0,TODAY()-N539,"")</f>
        <v>385</v>
      </c>
    </row>
    <row r="540" ht="17" customHeight="1" spans="1:19" x14ac:dyDescent="0.25">
      <c r="A540" s="11" t="s">
        <v>20</v>
      </c>
      <c r="B540" s="11" t="s">
        <v>911</v>
      </c>
      <c r="C540" s="11" t="s">
        <v>1100</v>
      </c>
      <c r="D540" s="11" t="s">
        <v>1101</v>
      </c>
      <c r="E540" s="12">
        <v>111</v>
      </c>
      <c r="F540" s="13">
        <v>15667.892432432433</v>
      </c>
      <c r="G540" s="14">
        <v>45671</v>
      </c>
      <c r="H540" s="13">
        <v>13739.09</v>
      </c>
      <c r="I540" s="15" t="s">
        <v>60</v>
      </c>
      <c r="J540" s="13">
        <v>16025.51</v>
      </c>
      <c r="K540" s="20">
        <f>IF(AND(H540&gt;0,J540&gt;0),(J540-H540)/H540,"")</f>
        <v>0.1664171353415692</v>
      </c>
      <c r="L540" s="13">
        <v>16375.15</v>
      </c>
      <c r="M540" s="17">
        <f>IF(AND(J540&gt;0,L540&gt;0),(L540-J540)/J540,IF(AND(H540&gt;0,L540&gt;0),(L540-H540)/H540,""))</f>
        <v>0.021817714381632748</v>
      </c>
      <c r="N540" s="14">
        <v>46064</v>
      </c>
      <c r="O540" s="13">
        <v>16547.1</v>
      </c>
      <c r="P540" s="17">
        <f>IF(AND(L540&gt;0,O540&gt;0),(O540-L540)/L540,"")</f>
        <v>0.010500667169460975</v>
      </c>
      <c r="Q540" s="18">
        <v>49</v>
      </c>
      <c r="R540" s="18">
        <v>9</v>
      </c>
      <c r="S540" s="18">
        <f>IF(N540&gt;0,TODAY()-N540,"")</f>
        <v>47</v>
      </c>
    </row>
    <row r="541" ht="17" customHeight="1" spans="1:19" x14ac:dyDescent="0.25">
      <c r="A541" s="3" t="s">
        <v>20</v>
      </c>
      <c r="B541" s="3" t="s">
        <v>911</v>
      </c>
      <c r="C541" s="3" t="s">
        <v>1102</v>
      </c>
      <c r="D541" s="3" t="s">
        <v>1103</v>
      </c>
      <c r="E541" s="4">
        <v>51</v>
      </c>
      <c r="F541" s="5">
        <v>11104.725196078434</v>
      </c>
      <c r="G541" s="6">
        <v>45685</v>
      </c>
      <c r="H541" s="5">
        <v>9067.44</v>
      </c>
      <c r="I541" s="7" t="s">
        <v>24</v>
      </c>
      <c r="J541" s="5"/>
      <c r="K541" s="8" t="str">
        <f>IF(AND(H541&gt;0,J541&gt;0),(J541-H541)/H541,"")</f>
        <v/>
      </c>
      <c r="L541" s="5"/>
      <c r="M541" s="8" t="str">
        <f>IF(AND(J541&gt;0,L541&gt;0),(L541-J541)/J541,IF(AND(H541&gt;0,L541&gt;0),(L541-H541)/H541,""))</f>
        <v/>
      </c>
      <c r="N541" s="6">
        <v>45845</v>
      </c>
      <c r="O541" s="5">
        <v>12848.61</v>
      </c>
      <c r="P541" s="8" t="str">
        <f>IF(AND(L541&gt;0,O541&gt;0),(O541-L541)/L541,"")</f>
        <v/>
      </c>
      <c r="Q541" s="9">
        <v>27</v>
      </c>
      <c r="R541" s="9">
        <v>7</v>
      </c>
      <c r="S541" s="10">
        <f>IF(N541&gt;0,TODAY()-N541,"")</f>
        <v>266</v>
      </c>
    </row>
    <row r="542" ht="17" customHeight="1" spans="1:19" x14ac:dyDescent="0.25">
      <c r="A542" s="11" t="s">
        <v>20</v>
      </c>
      <c r="B542" s="11" t="s">
        <v>911</v>
      </c>
      <c r="C542" s="11" t="s">
        <v>1104</v>
      </c>
      <c r="D542" s="11" t="s">
        <v>1105</v>
      </c>
      <c r="E542" s="12">
        <v>1090</v>
      </c>
      <c r="F542" s="13">
        <v>196.80642201834863</v>
      </c>
      <c r="G542" s="14">
        <v>45667</v>
      </c>
      <c r="H542" s="13">
        <v>195</v>
      </c>
      <c r="I542" s="15" t="s">
        <v>60</v>
      </c>
      <c r="J542" s="13">
        <v>200</v>
      </c>
      <c r="K542" s="17">
        <f>IF(AND(H542&gt;0,J542&gt;0),(J542-H542)/H542,"")</f>
        <v>0.02564102564102564</v>
      </c>
      <c r="L542" s="13">
        <v>225</v>
      </c>
      <c r="M542" s="20">
        <f>IF(AND(J542&gt;0,L542&gt;0),(L542-J542)/J542,IF(AND(H542&gt;0,L542&gt;0),(L542-H542)/H542,""))</f>
        <v>0.125</v>
      </c>
      <c r="N542" s="14">
        <v>46086</v>
      </c>
      <c r="O542" s="13">
        <v>225</v>
      </c>
      <c r="P542" s="17">
        <f>IF(AND(L542&gt;0,O542&gt;0),(O542-L542)/L542,"")</f>
        <v>0</v>
      </c>
      <c r="Q542" s="18">
        <v>38</v>
      </c>
      <c r="R542" s="18">
        <v>12</v>
      </c>
      <c r="S542" s="18">
        <f>IF(N542&gt;0,TODAY()-N542,"")</f>
        <v>25</v>
      </c>
    </row>
    <row r="543" ht="17" customHeight="1" spans="1:19" x14ac:dyDescent="0.25">
      <c r="A543" s="3" t="s">
        <v>20</v>
      </c>
      <c r="B543" s="3" t="s">
        <v>911</v>
      </c>
      <c r="C543" s="3" t="s">
        <v>1106</v>
      </c>
      <c r="D543" s="3" t="s">
        <v>1107</v>
      </c>
      <c r="E543" s="4">
        <v>4</v>
      </c>
      <c r="F543" s="5">
        <v>6000</v>
      </c>
      <c r="G543" s="6">
        <v>45716</v>
      </c>
      <c r="H543" s="5">
        <v>6000</v>
      </c>
      <c r="I543" s="7" t="s">
        <v>24</v>
      </c>
      <c r="J543" s="5"/>
      <c r="K543" s="8" t="str">
        <f>IF(AND(H543&gt;0,J543&gt;0),(J543-H543)/H543,"")</f>
        <v/>
      </c>
      <c r="L543" s="5"/>
      <c r="M543" s="8" t="str">
        <f>IF(AND(J543&gt;0,L543&gt;0),(L543-J543)/J543,IF(AND(H543&gt;0,L543&gt;0),(L543-H543)/H543,""))</f>
        <v/>
      </c>
      <c r="N543" s="6">
        <v>45716</v>
      </c>
      <c r="O543" s="5">
        <v>6000</v>
      </c>
      <c r="P543" s="8" t="str">
        <f>IF(AND(L543&gt;0,O543&gt;0),(O543-L543)/L543,"")</f>
        <v/>
      </c>
      <c r="Q543" s="9"/>
      <c r="R543" s="9">
        <v>1</v>
      </c>
      <c r="S543" s="10">
        <f>IF(N543&gt;0,TODAY()-N543,"")</f>
        <v>395</v>
      </c>
    </row>
    <row r="544" ht="17" customHeight="1" spans="1:19" x14ac:dyDescent="0.25">
      <c r="A544" s="11" t="s">
        <v>20</v>
      </c>
      <c r="B544" s="11" t="s">
        <v>911</v>
      </c>
      <c r="C544" s="11" t="s">
        <v>1108</v>
      </c>
      <c r="D544" s="11" t="s">
        <v>1109</v>
      </c>
      <c r="E544" s="12">
        <v>50</v>
      </c>
      <c r="F544" s="13">
        <v>833.33</v>
      </c>
      <c r="G544" s="14">
        <v>45838</v>
      </c>
      <c r="H544" s="13">
        <v>833.33</v>
      </c>
      <c r="I544" s="15" t="s">
        <v>24</v>
      </c>
      <c r="J544" s="13"/>
      <c r="K544" s="16" t="str">
        <f>IF(AND(H544&gt;0,J544&gt;0),(J544-H544)/H544,"")</f>
        <v/>
      </c>
      <c r="L544" s="13"/>
      <c r="M544" s="16" t="str">
        <f>IF(AND(J544&gt;0,L544&gt;0),(L544-J544)/J544,IF(AND(H544&gt;0,L544&gt;0),(L544-H544)/H544,""))</f>
        <v/>
      </c>
      <c r="N544" s="14">
        <v>45838</v>
      </c>
      <c r="O544" s="13">
        <v>833.33</v>
      </c>
      <c r="P544" s="16" t="str">
        <f>IF(AND(L544&gt;0,O544&gt;0),(O544-L544)/L544,"")</f>
        <v/>
      </c>
      <c r="Q544" s="18"/>
      <c r="R544" s="18">
        <v>1</v>
      </c>
      <c r="S544" s="10">
        <f>IF(N544&gt;0,TODAY()-N544,"")</f>
        <v>273</v>
      </c>
    </row>
    <row r="545" ht="17" customHeight="1" spans="1:19" x14ac:dyDescent="0.25">
      <c r="A545" s="3" t="s">
        <v>20</v>
      </c>
      <c r="B545" s="3" t="s">
        <v>911</v>
      </c>
      <c r="C545" s="3" t="s">
        <v>1110</v>
      </c>
      <c r="D545" s="3" t="s">
        <v>1111</v>
      </c>
      <c r="E545" s="4">
        <v>403</v>
      </c>
      <c r="F545" s="5">
        <v>241.24600496277915</v>
      </c>
      <c r="G545" s="6">
        <v>45727</v>
      </c>
      <c r="H545" s="5">
        <v>200</v>
      </c>
      <c r="I545" s="7" t="s">
        <v>60</v>
      </c>
      <c r="J545" s="5">
        <v>200</v>
      </c>
      <c r="K545" s="24">
        <f>IF(AND(H545&gt;0,J545&gt;0),(J545-H545)/H545,"")</f>
        <v>0</v>
      </c>
      <c r="L545" s="5"/>
      <c r="M545" s="8" t="str">
        <f>IF(AND(J545&gt;0,L545&gt;0),(L545-J545)/J545,IF(AND(H545&gt;0,L545&gt;0),(L545-H545)/H545,""))</f>
        <v/>
      </c>
      <c r="N545" s="6">
        <v>45974</v>
      </c>
      <c r="O545" s="5">
        <v>200</v>
      </c>
      <c r="P545" s="8" t="str">
        <f>IF(AND(L545&gt;0,O545&gt;0),(O545-L545)/L545,"")</f>
        <v/>
      </c>
      <c r="Q545" s="9">
        <v>41</v>
      </c>
      <c r="R545" s="9">
        <v>7</v>
      </c>
      <c r="S545" s="21">
        <f>IF(N545&gt;0,TODAY()-N545,"")</f>
        <v>137</v>
      </c>
    </row>
    <row r="546" ht="17" customHeight="1" spans="1:19" x14ac:dyDescent="0.25">
      <c r="A546" s="11" t="s">
        <v>20</v>
      </c>
      <c r="B546" s="11" t="s">
        <v>911</v>
      </c>
      <c r="C546" s="11" t="s">
        <v>1112</v>
      </c>
      <c r="D546" s="11" t="s">
        <v>1113</v>
      </c>
      <c r="E546" s="12">
        <v>129</v>
      </c>
      <c r="F546" s="13">
        <v>1139.2113953488374</v>
      </c>
      <c r="G546" s="14">
        <v>45684</v>
      </c>
      <c r="H546" s="13">
        <v>1500</v>
      </c>
      <c r="I546" s="15" t="s">
        <v>60</v>
      </c>
      <c r="J546" s="13">
        <v>1097.5</v>
      </c>
      <c r="K546" s="25">
        <f>IF(AND(H546&gt;0,J546&gt;0),(J546-H546)/H546,"")</f>
        <v>-0.2683333333333333</v>
      </c>
      <c r="L546" s="13">
        <v>1083.33</v>
      </c>
      <c r="M546" s="25">
        <f>IF(AND(J546&gt;0,L546&gt;0),(L546-J546)/J546,IF(AND(H546&gt;0,L546&gt;0),(L546-H546)/H546,""))</f>
        <v>-0.012911161731207356</v>
      </c>
      <c r="N546" s="14">
        <v>46091</v>
      </c>
      <c r="O546" s="13">
        <v>1145.83</v>
      </c>
      <c r="P546" s="17">
        <f>IF(AND(L546&gt;0,O546&gt;0),(O546-L546)/L546,"")</f>
        <v>0.0576924852076468</v>
      </c>
      <c r="Q546" s="18">
        <v>34</v>
      </c>
      <c r="R546" s="18">
        <v>13</v>
      </c>
      <c r="S546" s="18">
        <f>IF(N546&gt;0,TODAY()-N546,"")</f>
        <v>20</v>
      </c>
    </row>
    <row r="547" ht="17" customHeight="1" spans="1:19" x14ac:dyDescent="0.25">
      <c r="A547" s="3" t="s">
        <v>20</v>
      </c>
      <c r="B547" s="3" t="s">
        <v>911</v>
      </c>
      <c r="C547" s="3" t="s">
        <v>1114</v>
      </c>
      <c r="D547" s="3" t="s">
        <v>1115</v>
      </c>
      <c r="E547" s="4">
        <v>1</v>
      </c>
      <c r="F547" s="5">
        <v>1095.84</v>
      </c>
      <c r="G547" s="6">
        <v>45881</v>
      </c>
      <c r="H547" s="5">
        <v>1095.84</v>
      </c>
      <c r="I547" s="7" t="s">
        <v>24</v>
      </c>
      <c r="J547" s="5"/>
      <c r="K547" s="8" t="str">
        <f>IF(AND(H547&gt;0,J547&gt;0),(J547-H547)/H547,"")</f>
        <v/>
      </c>
      <c r="L547" s="5"/>
      <c r="M547" s="8" t="str">
        <f>IF(AND(J547&gt;0,L547&gt;0),(L547-J547)/J547,IF(AND(H547&gt;0,L547&gt;0),(L547-H547)/H547,""))</f>
        <v/>
      </c>
      <c r="N547" s="6">
        <v>45881</v>
      </c>
      <c r="O547" s="5">
        <v>1095.84</v>
      </c>
      <c r="P547" s="8" t="str">
        <f>IF(AND(L547&gt;0,O547&gt;0),(O547-L547)/L547,"")</f>
        <v/>
      </c>
      <c r="Q547" s="9"/>
      <c r="R547" s="9">
        <v>1</v>
      </c>
      <c r="S547" s="10">
        <f>IF(N547&gt;0,TODAY()-N547,"")</f>
        <v>230</v>
      </c>
    </row>
    <row r="548" ht="17" customHeight="1" spans="1:19" x14ac:dyDescent="0.25">
      <c r="A548" s="11" t="s">
        <v>20</v>
      </c>
      <c r="B548" s="11" t="s">
        <v>911</v>
      </c>
      <c r="C548" s="11" t="s">
        <v>1116</v>
      </c>
      <c r="D548" s="11" t="s">
        <v>1117</v>
      </c>
      <c r="E548" s="12">
        <v>53</v>
      </c>
      <c r="F548" s="13">
        <v>1549.1379245283015</v>
      </c>
      <c r="G548" s="14">
        <v>45673</v>
      </c>
      <c r="H548" s="13">
        <v>1825</v>
      </c>
      <c r="I548" s="15" t="s">
        <v>54</v>
      </c>
      <c r="J548" s="13">
        <v>1653.04</v>
      </c>
      <c r="K548" s="25">
        <f>IF(AND(H548&gt;0,J548&gt;0),(J548-H548)/H548,"")</f>
        <v>-0.09422465753424661</v>
      </c>
      <c r="L548" s="13">
        <v>1602.06</v>
      </c>
      <c r="M548" s="25">
        <f>IF(AND(J548&gt;0,L548&gt;0),(L548-J548)/J548,IF(AND(H548&gt;0,L548&gt;0),(L548-H548)/H548,""))</f>
        <v>-0.030840149058703976</v>
      </c>
      <c r="N548" s="14">
        <v>46111</v>
      </c>
      <c r="O548" s="13">
        <v>1630.58</v>
      </c>
      <c r="P548" s="17">
        <f>IF(AND(L548&gt;0,O548&gt;0),(O548-L548)/L548,"")</f>
        <v>0.01780207982222887</v>
      </c>
      <c r="Q548" s="18">
        <v>49</v>
      </c>
      <c r="R548" s="18">
        <v>10</v>
      </c>
      <c r="S548" s="18">
        <f>IF(N548&gt;0,TODAY()-N548,"")</f>
        <v>0</v>
      </c>
    </row>
    <row r="549" ht="17" customHeight="1" spans="1:19" x14ac:dyDescent="0.25">
      <c r="A549" s="3" t="s">
        <v>20</v>
      </c>
      <c r="B549" s="3" t="s">
        <v>911</v>
      </c>
      <c r="C549" s="3" t="s">
        <v>1118</v>
      </c>
      <c r="D549" s="3" t="s">
        <v>1119</v>
      </c>
      <c r="E549" s="4">
        <v>61</v>
      </c>
      <c r="F549" s="5">
        <v>1400.4753005459017</v>
      </c>
      <c r="G549" s="6">
        <v>45722</v>
      </c>
      <c r="H549" s="5">
        <v>1153.54</v>
      </c>
      <c r="I549" s="7" t="s">
        <v>54</v>
      </c>
      <c r="J549" s="5">
        <v>1511.36</v>
      </c>
      <c r="K549" s="23">
        <f>IF(AND(H549&gt;0,J549&gt;0),(J549-H549)/H549,"")</f>
        <v>0.31019297120169215</v>
      </c>
      <c r="L549" s="5">
        <v>1464.74</v>
      </c>
      <c r="M549" s="26">
        <f>IF(AND(J549&gt;0,L549&gt;0),(L549-J549)/J549,IF(AND(H549&gt;0,L549&gt;0),(L549-H549)/H549,""))</f>
        <v>-0.030846390006351823</v>
      </c>
      <c r="N549" s="6">
        <v>46111</v>
      </c>
      <c r="O549" s="5">
        <v>1491.67</v>
      </c>
      <c r="P549" s="24">
        <f>IF(AND(L549&gt;0,O549&gt;0),(O549-L549)/L549,"")</f>
        <v>0.01838551551811247</v>
      </c>
      <c r="Q549" s="9">
        <v>39</v>
      </c>
      <c r="R549" s="9">
        <v>11</v>
      </c>
      <c r="S549" s="9">
        <f>IF(N549&gt;0,TODAY()-N549,"")</f>
        <v>0</v>
      </c>
    </row>
    <row r="550" ht="17" customHeight="1" spans="1:19" x14ac:dyDescent="0.25">
      <c r="A550" s="11" t="s">
        <v>20</v>
      </c>
      <c r="B550" s="11" t="s">
        <v>911</v>
      </c>
      <c r="C550" s="11" t="s">
        <v>1120</v>
      </c>
      <c r="D550" s="11" t="s">
        <v>1121</v>
      </c>
      <c r="E550" s="12">
        <v>116</v>
      </c>
      <c r="F550" s="13">
        <v>614.9753448267242</v>
      </c>
      <c r="G550" s="14">
        <v>45673</v>
      </c>
      <c r="H550" s="13">
        <v>700</v>
      </c>
      <c r="I550" s="15" t="s">
        <v>54</v>
      </c>
      <c r="J550" s="13">
        <v>652.96</v>
      </c>
      <c r="K550" s="25">
        <f>IF(AND(H550&gt;0,J550&gt;0),(J550-H550)/H550,"")</f>
        <v>-0.06719999999999995</v>
      </c>
      <c r="L550" s="13">
        <v>632.81</v>
      </c>
      <c r="M550" s="25">
        <f>IF(AND(J550&gt;0,L550&gt;0),(L550-J550)/J550,IF(AND(H550&gt;0,L550&gt;0),(L550-H550)/H550,""))</f>
        <v>-0.030859470717961423</v>
      </c>
      <c r="N550" s="14">
        <v>46111</v>
      </c>
      <c r="O550" s="13">
        <v>675</v>
      </c>
      <c r="P550" s="17">
        <f>IF(AND(L550&gt;0,O550&gt;0),(O550-L550)/L550,"")</f>
        <v>0.06667088067508424</v>
      </c>
      <c r="Q550" s="18">
        <v>37</v>
      </c>
      <c r="R550" s="18">
        <v>13</v>
      </c>
      <c r="S550" s="18">
        <f>IF(N550&gt;0,TODAY()-N550,"")</f>
        <v>0</v>
      </c>
    </row>
    <row r="551" ht="17" customHeight="1" spans="1:19" x14ac:dyDescent="0.25">
      <c r="A551" s="3" t="s">
        <v>20</v>
      </c>
      <c r="B551" s="3" t="s">
        <v>911</v>
      </c>
      <c r="C551" s="3" t="s">
        <v>1122</v>
      </c>
      <c r="D551" s="3" t="s">
        <v>1123</v>
      </c>
      <c r="E551" s="4">
        <v>7</v>
      </c>
      <c r="F551" s="5">
        <v>8165.247142857143</v>
      </c>
      <c r="G551" s="6">
        <v>45807</v>
      </c>
      <c r="H551" s="5">
        <v>7350</v>
      </c>
      <c r="I551" s="7" t="s">
        <v>24</v>
      </c>
      <c r="J551" s="5"/>
      <c r="K551" s="8" t="str">
        <f>IF(AND(H551&gt;0,J551&gt;0),(J551-H551)/H551,"")</f>
        <v/>
      </c>
      <c r="L551" s="5">
        <v>10708.33</v>
      </c>
      <c r="M551" s="23">
        <f>IF(AND(J551&gt;0,L551&gt;0),(L551-J551)/J551,IF(AND(H551&gt;0,L551&gt;0),(L551-H551)/H551,""))</f>
        <v>0.4569156462585034</v>
      </c>
      <c r="N551" s="6">
        <v>46048</v>
      </c>
      <c r="O551" s="5">
        <v>10708.33</v>
      </c>
      <c r="P551" s="8" t="str">
        <f>IF(AND(L551&gt;0,O551&gt;0),(O551-L551)/L551,"")</f>
        <v/>
      </c>
      <c r="Q551" s="9">
        <v>80</v>
      </c>
      <c r="R551" s="9">
        <v>4</v>
      </c>
      <c r="S551" s="19">
        <f>IF(N551&gt;0,TODAY()-N551,"")</f>
        <v>63</v>
      </c>
    </row>
    <row r="552" ht="17" customHeight="1" spans="1:19" x14ac:dyDescent="0.25">
      <c r="A552" s="11" t="s">
        <v>20</v>
      </c>
      <c r="B552" s="11" t="s">
        <v>911</v>
      </c>
      <c r="C552" s="11" t="s">
        <v>1124</v>
      </c>
      <c r="D552" s="11" t="s">
        <v>1125</v>
      </c>
      <c r="E552" s="12">
        <v>57</v>
      </c>
      <c r="F552" s="13">
        <v>502.10526315789474</v>
      </c>
      <c r="G552" s="14">
        <v>45721</v>
      </c>
      <c r="H552" s="13">
        <v>380</v>
      </c>
      <c r="I552" s="15" t="s">
        <v>57</v>
      </c>
      <c r="J552" s="13">
        <v>600</v>
      </c>
      <c r="K552" s="23">
        <f>IF(AND(H552&gt;0,J552&gt;0),(J552-H552)/H552,"")</f>
        <v>0.5789473684210527</v>
      </c>
      <c r="L552" s="13"/>
      <c r="M552" s="16" t="str">
        <f>IF(AND(J552&gt;0,L552&gt;0),(L552-J552)/J552,IF(AND(H552&gt;0,L552&gt;0),(L552-H552)/H552,""))</f>
        <v/>
      </c>
      <c r="N552" s="14">
        <v>46062</v>
      </c>
      <c r="O552" s="13">
        <v>600</v>
      </c>
      <c r="P552" s="17">
        <f>IF(AND(L552&gt;0,O552&gt;0),(O552-L552)/L552,"")</f>
        <v>0</v>
      </c>
      <c r="Q552" s="18">
        <v>68</v>
      </c>
      <c r="R552" s="18">
        <v>6</v>
      </c>
      <c r="S552" s="18">
        <f>IF(N552&gt;0,TODAY()-N552,"")</f>
        <v>49</v>
      </c>
    </row>
    <row r="553" ht="17" customHeight="1" spans="1:19" x14ac:dyDescent="0.25">
      <c r="A553" s="3" t="s">
        <v>20</v>
      </c>
      <c r="B553" s="3" t="s">
        <v>911</v>
      </c>
      <c r="C553" s="3" t="s">
        <v>1126</v>
      </c>
      <c r="D553" s="3" t="s">
        <v>1127</v>
      </c>
      <c r="E553" s="4">
        <v>1</v>
      </c>
      <c r="F553" s="5">
        <v>716.67</v>
      </c>
      <c r="G553" s="6">
        <v>45757</v>
      </c>
      <c r="H553" s="5">
        <v>716.67</v>
      </c>
      <c r="I553" s="7" t="s">
        <v>24</v>
      </c>
      <c r="J553" s="5"/>
      <c r="K553" s="8" t="str">
        <f>IF(AND(H553&gt;0,J553&gt;0),(J553-H553)/H553,"")</f>
        <v/>
      </c>
      <c r="L553" s="5"/>
      <c r="M553" s="8" t="str">
        <f>IF(AND(J553&gt;0,L553&gt;0),(L553-J553)/J553,IF(AND(H553&gt;0,L553&gt;0),(L553-H553)/H553,""))</f>
        <v/>
      </c>
      <c r="N553" s="6">
        <v>45757</v>
      </c>
      <c r="O553" s="5">
        <v>716.67</v>
      </c>
      <c r="P553" s="8" t="str">
        <f>IF(AND(L553&gt;0,O553&gt;0),(O553-L553)/L553,"")</f>
        <v/>
      </c>
      <c r="Q553" s="9"/>
      <c r="R553" s="9">
        <v>1</v>
      </c>
      <c r="S553" s="10">
        <f>IF(N553&gt;0,TODAY()-N553,"")</f>
        <v>354</v>
      </c>
    </row>
    <row r="554" ht="17" customHeight="1" spans="1:19" x14ac:dyDescent="0.25">
      <c r="A554" s="11" t="s">
        <v>20</v>
      </c>
      <c r="B554" s="11" t="s">
        <v>911</v>
      </c>
      <c r="C554" s="11" t="s">
        <v>1128</v>
      </c>
      <c r="D554" s="11" t="s">
        <v>1129</v>
      </c>
      <c r="E554" s="12">
        <v>78</v>
      </c>
      <c r="F554" s="13">
        <v>535.3311538461538</v>
      </c>
      <c r="G554" s="14">
        <v>45698</v>
      </c>
      <c r="H554" s="13">
        <v>570</v>
      </c>
      <c r="I554" s="15" t="s">
        <v>54</v>
      </c>
      <c r="J554" s="13">
        <v>437.5</v>
      </c>
      <c r="K554" s="25">
        <f>IF(AND(H554&gt;0,J554&gt;0),(J554-H554)/H554,"")</f>
        <v>-0.2324561403508772</v>
      </c>
      <c r="L554" s="13">
        <v>437.5</v>
      </c>
      <c r="M554" s="17">
        <f>IF(AND(J554&gt;0,L554&gt;0),(L554-J554)/J554,IF(AND(H554&gt;0,L554&gt;0),(L554-H554)/H554,""))</f>
        <v>0</v>
      </c>
      <c r="N554" s="14">
        <v>46059</v>
      </c>
      <c r="O554" s="13">
        <v>512.5</v>
      </c>
      <c r="P554" s="20">
        <f>IF(AND(L554&gt;0,O554&gt;0),(O554-L554)/L554,"")</f>
        <v>0.17142857142857143</v>
      </c>
      <c r="Q554" s="18">
        <v>33</v>
      </c>
      <c r="R554" s="18">
        <v>12</v>
      </c>
      <c r="S554" s="18">
        <f>IF(N554&gt;0,TODAY()-N554,"")</f>
        <v>52</v>
      </c>
    </row>
    <row r="555" ht="17" customHeight="1" spans="1:19" x14ac:dyDescent="0.25">
      <c r="A555" s="3" t="s">
        <v>20</v>
      </c>
      <c r="B555" s="3" t="s">
        <v>911</v>
      </c>
      <c r="C555" s="3" t="s">
        <v>1130</v>
      </c>
      <c r="D555" s="3" t="s">
        <v>1131</v>
      </c>
      <c r="E555" s="4">
        <v>60</v>
      </c>
      <c r="F555" s="5">
        <v>1165.4166666666667</v>
      </c>
      <c r="G555" s="6">
        <v>45685</v>
      </c>
      <c r="H555" s="5">
        <v>1050</v>
      </c>
      <c r="I555" s="7" t="s">
        <v>60</v>
      </c>
      <c r="J555" s="5">
        <v>1250</v>
      </c>
      <c r="K555" s="22">
        <f>IF(AND(H555&gt;0,J555&gt;0),(J555-H555)/H555,"")</f>
        <v>0.19047619047619047</v>
      </c>
      <c r="L555" s="5">
        <v>1350</v>
      </c>
      <c r="M555" s="24">
        <f>IF(AND(J555&gt;0,L555&gt;0),(L555-J555)/J555,IF(AND(H555&gt;0,L555&gt;0),(L555-H555)/H555,""))</f>
        <v>0.08</v>
      </c>
      <c r="N555" s="6">
        <v>46051</v>
      </c>
      <c r="O555" s="5">
        <v>1350</v>
      </c>
      <c r="P555" s="8" t="str">
        <f>IF(AND(L555&gt;0,O555&gt;0),(O555-L555)/L555,"")</f>
        <v/>
      </c>
      <c r="Q555" s="9">
        <v>61</v>
      </c>
      <c r="R555" s="9">
        <v>7</v>
      </c>
      <c r="S555" s="9">
        <f>IF(N555&gt;0,TODAY()-N555,"")</f>
        <v>60</v>
      </c>
    </row>
    <row r="556" ht="17" customHeight="1" spans="1:19" x14ac:dyDescent="0.25">
      <c r="A556" s="11" t="s">
        <v>20</v>
      </c>
      <c r="B556" s="11" t="s">
        <v>911</v>
      </c>
      <c r="C556" s="11" t="s">
        <v>1132</v>
      </c>
      <c r="D556" s="11" t="s">
        <v>1133</v>
      </c>
      <c r="E556" s="12">
        <v>5</v>
      </c>
      <c r="F556" s="13">
        <v>2000</v>
      </c>
      <c r="G556" s="14">
        <v>46029</v>
      </c>
      <c r="H556" s="13">
        <v>2000</v>
      </c>
      <c r="I556" s="15" t="s">
        <v>24</v>
      </c>
      <c r="J556" s="13"/>
      <c r="K556" s="16" t="str">
        <f>IF(AND(H556&gt;0,J556&gt;0),(J556-H556)/H556,"")</f>
        <v/>
      </c>
      <c r="L556" s="13">
        <v>2000</v>
      </c>
      <c r="M556" s="17">
        <f>IF(AND(J556&gt;0,L556&gt;0),(L556-J556)/J556,IF(AND(H556&gt;0,L556&gt;0),(L556-H556)/H556,""))</f>
        <v>0</v>
      </c>
      <c r="N556" s="14">
        <v>46029</v>
      </c>
      <c r="O556" s="13">
        <v>2000</v>
      </c>
      <c r="P556" s="16" t="str">
        <f>IF(AND(L556&gt;0,O556&gt;0),(O556-L556)/L556,"")</f>
        <v/>
      </c>
      <c r="Q556" s="18"/>
      <c r="R556" s="18">
        <v>1</v>
      </c>
      <c r="S556" s="19">
        <f>IF(N556&gt;0,TODAY()-N556,"")</f>
        <v>82</v>
      </c>
    </row>
    <row r="557" ht="17" customHeight="1" spans="1:19" x14ac:dyDescent="0.25">
      <c r="A557" s="3" t="s">
        <v>20</v>
      </c>
      <c r="B557" s="3" t="s">
        <v>911</v>
      </c>
      <c r="C557" s="3" t="s">
        <v>1134</v>
      </c>
      <c r="D557" s="3" t="s">
        <v>1135</v>
      </c>
      <c r="E557" s="4">
        <v>13</v>
      </c>
      <c r="F557" s="5">
        <v>8050.994615384615</v>
      </c>
      <c r="G557" s="6">
        <v>45708</v>
      </c>
      <c r="H557" s="5">
        <v>6501.6</v>
      </c>
      <c r="I557" s="7" t="s">
        <v>54</v>
      </c>
      <c r="J557" s="5">
        <v>8324.78</v>
      </c>
      <c r="K557" s="23">
        <f>IF(AND(H557&gt;0,J557&gt;0),(J557-H557)/H557,"")</f>
        <v>0.2804202042574136</v>
      </c>
      <c r="L557" s="5"/>
      <c r="M557" s="8" t="str">
        <f>IF(AND(J557&gt;0,L557&gt;0),(L557-J557)/J557,IF(AND(H557&gt;0,L557&gt;0),(L557-H557)/H557,""))</f>
        <v/>
      </c>
      <c r="N557" s="6">
        <v>46087</v>
      </c>
      <c r="O557" s="5">
        <v>8411.93</v>
      </c>
      <c r="P557" s="24">
        <f>IF(AND(L557&gt;0,O557&gt;0),(O557-L557)/L557,"")</f>
        <v>0.010468745119991114</v>
      </c>
      <c r="Q557" s="9">
        <v>190</v>
      </c>
      <c r="R557" s="9">
        <v>3</v>
      </c>
      <c r="S557" s="9">
        <f>IF(N557&gt;0,TODAY()-N557,"")</f>
        <v>24</v>
      </c>
    </row>
    <row r="558" ht="17" customHeight="1" spans="1:19" x14ac:dyDescent="0.25">
      <c r="A558" s="11" t="s">
        <v>20</v>
      </c>
      <c r="B558" s="11" t="s">
        <v>911</v>
      </c>
      <c r="C558" s="11" t="s">
        <v>1136</v>
      </c>
      <c r="D558" s="11" t="s">
        <v>1135</v>
      </c>
      <c r="E558" s="12">
        <v>56</v>
      </c>
      <c r="F558" s="13">
        <v>7908.754047607143</v>
      </c>
      <c r="G558" s="14">
        <v>45750</v>
      </c>
      <c r="H558" s="13">
        <v>6882.15</v>
      </c>
      <c r="I558" s="15" t="s">
        <v>57</v>
      </c>
      <c r="J558" s="13">
        <v>8371.19</v>
      </c>
      <c r="K558" s="20">
        <f>IF(AND(H558&gt;0,J558&gt;0),(J558-H558)/H558,"")</f>
        <v>0.21636261923962727</v>
      </c>
      <c r="L558" s="13"/>
      <c r="M558" s="16" t="str">
        <f>IF(AND(J558&gt;0,L558&gt;0),(L558-J558)/J558,IF(AND(H558&gt;0,L558&gt;0),(L558-H558)/H558,""))</f>
        <v/>
      </c>
      <c r="N558" s="14">
        <v>45947</v>
      </c>
      <c r="O558" s="13">
        <v>8371.19</v>
      </c>
      <c r="P558" s="16" t="str">
        <f>IF(AND(L558&gt;0,O558&gt;0),(O558-L558)/L558,"")</f>
        <v/>
      </c>
      <c r="Q558" s="18">
        <v>18</v>
      </c>
      <c r="R558" s="18">
        <v>12</v>
      </c>
      <c r="S558" s="21">
        <f>IF(N558&gt;0,TODAY()-N558,"")</f>
        <v>164</v>
      </c>
    </row>
    <row r="559" ht="17" customHeight="1" spans="1:19" x14ac:dyDescent="0.25">
      <c r="A559" s="3" t="s">
        <v>20</v>
      </c>
      <c r="B559" s="3" t="s">
        <v>911</v>
      </c>
      <c r="C559" s="3" t="s">
        <v>1137</v>
      </c>
      <c r="D559" s="3" t="s">
        <v>1138</v>
      </c>
      <c r="E559" s="4">
        <v>35</v>
      </c>
      <c r="F559" s="5">
        <v>11421.868</v>
      </c>
      <c r="G559" s="6">
        <v>45742</v>
      </c>
      <c r="H559" s="5">
        <v>10614.41</v>
      </c>
      <c r="I559" s="7" t="s">
        <v>60</v>
      </c>
      <c r="J559" s="5">
        <v>11860.18</v>
      </c>
      <c r="K559" s="22">
        <f>IF(AND(H559&gt;0,J559&gt;0),(J559-H559)/H559,"")</f>
        <v>0.1173659204798006</v>
      </c>
      <c r="L559" s="5">
        <v>12097.71</v>
      </c>
      <c r="M559" s="24">
        <f>IF(AND(J559&gt;0,L559&gt;0),(L559-J559)/J559,IF(AND(H559&gt;0,L559&gt;0),(L559-H559)/H559,""))</f>
        <v>0.020027520661575024</v>
      </c>
      <c r="N559" s="6">
        <v>46043</v>
      </c>
      <c r="O559" s="5">
        <v>12097.71</v>
      </c>
      <c r="P559" s="8" t="str">
        <f>IF(AND(L559&gt;0,O559&gt;0),(O559-L559)/L559,"")</f>
        <v/>
      </c>
      <c r="Q559" s="9">
        <v>60</v>
      </c>
      <c r="R559" s="9">
        <v>6</v>
      </c>
      <c r="S559" s="19">
        <f>IF(N559&gt;0,TODAY()-N559,"")</f>
        <v>68</v>
      </c>
    </row>
    <row r="560" ht="17" customHeight="1" spans="1:19" x14ac:dyDescent="0.25">
      <c r="A560" s="11" t="s">
        <v>20</v>
      </c>
      <c r="B560" s="11" t="s">
        <v>911</v>
      </c>
      <c r="C560" s="11" t="s">
        <v>1139</v>
      </c>
      <c r="D560" s="11" t="s">
        <v>1140</v>
      </c>
      <c r="E560" s="12">
        <v>36</v>
      </c>
      <c r="F560" s="13">
        <v>12636.034666666666</v>
      </c>
      <c r="G560" s="14">
        <v>45834</v>
      </c>
      <c r="H560" s="13">
        <v>12486.35</v>
      </c>
      <c r="I560" s="15" t="s">
        <v>60</v>
      </c>
      <c r="J560" s="13">
        <v>12707.34</v>
      </c>
      <c r="K560" s="17">
        <f>IF(AND(H560&gt;0,J560&gt;0),(J560-H560)/H560,"")</f>
        <v>0.017698526791256032</v>
      </c>
      <c r="L560" s="13">
        <v>12961.83</v>
      </c>
      <c r="M560" s="17">
        <f>IF(AND(J560&gt;0,L560&gt;0),(L560-J560)/J560,IF(AND(H560&gt;0,L560&gt;0),(L560-H560)/H560,""))</f>
        <v>0.02002700801269186</v>
      </c>
      <c r="N560" s="14">
        <v>46043</v>
      </c>
      <c r="O560" s="13">
        <v>12961.83</v>
      </c>
      <c r="P560" s="16" t="str">
        <f>IF(AND(L560&gt;0,O560&gt;0),(O560-L560)/L560,"")</f>
        <v/>
      </c>
      <c r="Q560" s="18">
        <v>42</v>
      </c>
      <c r="R560" s="18">
        <v>6</v>
      </c>
      <c r="S560" s="19">
        <f>IF(N560&gt;0,TODAY()-N560,"")</f>
        <v>68</v>
      </c>
    </row>
    <row r="561" ht="17" customHeight="1" spans="1:19" x14ac:dyDescent="0.25">
      <c r="A561" s="3" t="s">
        <v>20</v>
      </c>
      <c r="B561" s="3" t="s">
        <v>911</v>
      </c>
      <c r="C561" s="3" t="s">
        <v>1141</v>
      </c>
      <c r="D561" s="3" t="s">
        <v>1142</v>
      </c>
      <c r="E561" s="4">
        <v>15</v>
      </c>
      <c r="F561" s="5">
        <v>13186.46</v>
      </c>
      <c r="G561" s="6">
        <v>46080</v>
      </c>
      <c r="H561" s="5">
        <v>13140.78</v>
      </c>
      <c r="I561" s="7" t="s">
        <v>24</v>
      </c>
      <c r="J561" s="5"/>
      <c r="K561" s="8" t="str">
        <f>IF(AND(H561&gt;0,J561&gt;0),(J561-H561)/H561,"")</f>
        <v/>
      </c>
      <c r="L561" s="5"/>
      <c r="M561" s="8" t="str">
        <f>IF(AND(J561&gt;0,L561&gt;0),(L561-J561)/J561,IF(AND(H561&gt;0,L561&gt;0),(L561-H561)/H561,""))</f>
        <v/>
      </c>
      <c r="N561" s="6">
        <v>46094</v>
      </c>
      <c r="O561" s="5">
        <v>13209.3</v>
      </c>
      <c r="P561" s="24">
        <f>IF(AND(L561&gt;0,O561&gt;0),(O561-L561)/L561,"")</f>
        <v>0.005214302347349139</v>
      </c>
      <c r="Q561" s="9">
        <v>14</v>
      </c>
      <c r="R561" s="9">
        <v>2</v>
      </c>
      <c r="S561" s="9">
        <f>IF(N561&gt;0,TODAY()-N561,"")</f>
        <v>17</v>
      </c>
    </row>
    <row r="562" ht="17" customHeight="1" spans="1:19" x14ac:dyDescent="0.25">
      <c r="A562" s="11" t="s">
        <v>20</v>
      </c>
      <c r="B562" s="11" t="s">
        <v>911</v>
      </c>
      <c r="C562" s="11" t="s">
        <v>1143</v>
      </c>
      <c r="D562" s="11" t="s">
        <v>1144</v>
      </c>
      <c r="E562" s="12">
        <v>2</v>
      </c>
      <c r="F562" s="13">
        <v>10591.08</v>
      </c>
      <c r="G562" s="14">
        <v>45685</v>
      </c>
      <c r="H562" s="13">
        <v>10591.08</v>
      </c>
      <c r="I562" s="15" t="s">
        <v>24</v>
      </c>
      <c r="J562" s="13"/>
      <c r="K562" s="16" t="str">
        <f>IF(AND(H562&gt;0,J562&gt;0),(J562-H562)/H562,"")</f>
        <v/>
      </c>
      <c r="L562" s="13"/>
      <c r="M562" s="16" t="str">
        <f>IF(AND(J562&gt;0,L562&gt;0),(L562-J562)/J562,IF(AND(H562&gt;0,L562&gt;0),(L562-H562)/H562,""))</f>
        <v/>
      </c>
      <c r="N562" s="14">
        <v>45685</v>
      </c>
      <c r="O562" s="13">
        <v>10591.08</v>
      </c>
      <c r="P562" s="16" t="str">
        <f>IF(AND(L562&gt;0,O562&gt;0),(O562-L562)/L562,"")</f>
        <v/>
      </c>
      <c r="Q562" s="18"/>
      <c r="R562" s="18">
        <v>1</v>
      </c>
      <c r="S562" s="10">
        <f>IF(N562&gt;0,TODAY()-N562,"")</f>
        <v>426</v>
      </c>
    </row>
    <row r="563" ht="17" customHeight="1" spans="1:19" x14ac:dyDescent="0.25">
      <c r="A563" s="3" t="s">
        <v>20</v>
      </c>
      <c r="B563" s="3" t="s">
        <v>911</v>
      </c>
      <c r="C563" s="3" t="s">
        <v>1145</v>
      </c>
      <c r="D563" s="3" t="s">
        <v>1146</v>
      </c>
      <c r="E563" s="4">
        <v>136</v>
      </c>
      <c r="F563" s="5">
        <v>12074.696911764706</v>
      </c>
      <c r="G563" s="6">
        <v>45681</v>
      </c>
      <c r="H563" s="5">
        <v>11745.2</v>
      </c>
      <c r="I563" s="7" t="s">
        <v>60</v>
      </c>
      <c r="J563" s="5">
        <v>12707.34</v>
      </c>
      <c r="K563" s="24">
        <f>IF(AND(H563&gt;0,J563&gt;0),(J563-H563)/H563,"")</f>
        <v>0.08191771957906203</v>
      </c>
      <c r="L563" s="5">
        <v>12961.83</v>
      </c>
      <c r="M563" s="24">
        <f>IF(AND(J563&gt;0,L563&gt;0),(L563-J563)/J563,IF(AND(H563&gt;0,L563&gt;0),(L563-H563)/H563,""))</f>
        <v>0.02002700801269186</v>
      </c>
      <c r="N563" s="6">
        <v>46094</v>
      </c>
      <c r="O563" s="5">
        <v>13209.3</v>
      </c>
      <c r="P563" s="24">
        <f>IF(AND(L563&gt;0,O563&gt;0),(O563-L563)/L563,"")</f>
        <v>0.01909221151642934</v>
      </c>
      <c r="Q563" s="9">
        <v>32</v>
      </c>
      <c r="R563" s="9">
        <v>14</v>
      </c>
      <c r="S563" s="9">
        <f>IF(N563&gt;0,TODAY()-N563,"")</f>
        <v>17</v>
      </c>
    </row>
    <row r="564" ht="17" customHeight="1" spans="1:19" x14ac:dyDescent="0.25">
      <c r="A564" s="11" t="s">
        <v>20</v>
      </c>
      <c r="B564" s="11" t="s">
        <v>911</v>
      </c>
      <c r="C564" s="11" t="s">
        <v>1147</v>
      </c>
      <c r="D564" s="11" t="s">
        <v>1148</v>
      </c>
      <c r="E564" s="12">
        <v>211</v>
      </c>
      <c r="F564" s="13">
        <v>382.6472037914691</v>
      </c>
      <c r="G564" s="14">
        <v>45685</v>
      </c>
      <c r="H564" s="13">
        <v>356.6</v>
      </c>
      <c r="I564" s="15" t="s">
        <v>24</v>
      </c>
      <c r="J564" s="13"/>
      <c r="K564" s="16" t="str">
        <f>IF(AND(H564&gt;0,J564&gt;0),(J564-H564)/H564,"")</f>
        <v/>
      </c>
      <c r="L564" s="13"/>
      <c r="M564" s="16" t="str">
        <f>IF(AND(J564&gt;0,L564&gt;0),(L564-J564)/J564,IF(AND(H564&gt;0,L564&gt;0),(L564-H564)/H564,""))</f>
        <v/>
      </c>
      <c r="N564" s="14">
        <v>45918</v>
      </c>
      <c r="O564" s="13">
        <v>412.16</v>
      </c>
      <c r="P564" s="16" t="str">
        <f>IF(AND(L564&gt;0,O564&gt;0),(O564-L564)/L564,"")</f>
        <v/>
      </c>
      <c r="Q564" s="18">
        <v>33</v>
      </c>
      <c r="R564" s="18">
        <v>8</v>
      </c>
      <c r="S564" s="10">
        <f>IF(N564&gt;0,TODAY()-N564,"")</f>
        <v>193</v>
      </c>
    </row>
    <row r="565" ht="17" customHeight="1" spans="1:19" x14ac:dyDescent="0.25">
      <c r="A565" s="3" t="s">
        <v>20</v>
      </c>
      <c r="B565" s="3" t="s">
        <v>911</v>
      </c>
      <c r="C565" s="3" t="s">
        <v>1149</v>
      </c>
      <c r="D565" s="3" t="s">
        <v>1150</v>
      </c>
      <c r="E565" s="4">
        <v>80</v>
      </c>
      <c r="F565" s="5">
        <v>432.89549999999997</v>
      </c>
      <c r="G565" s="6">
        <v>45988</v>
      </c>
      <c r="H565" s="5">
        <v>423.58</v>
      </c>
      <c r="I565" s="7" t="s">
        <v>54</v>
      </c>
      <c r="J565" s="5">
        <v>425.34</v>
      </c>
      <c r="K565" s="24">
        <f>IF(AND(H565&gt;0,J565&gt;0),(J565-H565)/H565,"")</f>
        <v>0.004155059256810971</v>
      </c>
      <c r="L565" s="5">
        <v>432.49</v>
      </c>
      <c r="M565" s="24">
        <f>IF(AND(J565&gt;0,L565&gt;0),(L565-J565)/J565,IF(AND(H565&gt;0,L565&gt;0),(L565-H565)/H565,""))</f>
        <v>0.016810081346687437</v>
      </c>
      <c r="N565" s="6">
        <v>46094</v>
      </c>
      <c r="O565" s="5">
        <v>440.75</v>
      </c>
      <c r="P565" s="24">
        <f>IF(AND(L565&gt;0,O565&gt;0),(O565-L565)/L565,"")</f>
        <v>0.019098707484566095</v>
      </c>
      <c r="Q565" s="9">
        <v>21</v>
      </c>
      <c r="R565" s="9">
        <v>6</v>
      </c>
      <c r="S565" s="9">
        <f>IF(N565&gt;0,TODAY()-N565,"")</f>
        <v>17</v>
      </c>
    </row>
    <row r="566" ht="17" customHeight="1" spans="1:19" x14ac:dyDescent="0.25">
      <c r="A566" s="11" t="s">
        <v>20</v>
      </c>
      <c r="B566" s="11" t="s">
        <v>911</v>
      </c>
      <c r="C566" s="11" t="s">
        <v>1151</v>
      </c>
      <c r="D566" s="11" t="s">
        <v>1152</v>
      </c>
      <c r="E566" s="12">
        <v>1</v>
      </c>
      <c r="F566" s="13">
        <v>5</v>
      </c>
      <c r="G566" s="14">
        <v>45765</v>
      </c>
      <c r="H566" s="13">
        <v>5</v>
      </c>
      <c r="I566" s="15" t="s">
        <v>24</v>
      </c>
      <c r="J566" s="13"/>
      <c r="K566" s="16" t="str">
        <f>IF(AND(H566&gt;0,J566&gt;0),(J566-H566)/H566,"")</f>
        <v/>
      </c>
      <c r="L566" s="13"/>
      <c r="M566" s="16" t="str">
        <f>IF(AND(J566&gt;0,L566&gt;0),(L566-J566)/J566,IF(AND(H566&gt;0,L566&gt;0),(L566-H566)/H566,""))</f>
        <v/>
      </c>
      <c r="N566" s="14">
        <v>45765</v>
      </c>
      <c r="O566" s="13">
        <v>5</v>
      </c>
      <c r="P566" s="16" t="str">
        <f>IF(AND(L566&gt;0,O566&gt;0),(O566-L566)/L566,"")</f>
        <v/>
      </c>
      <c r="Q566" s="18"/>
      <c r="R566" s="18">
        <v>1</v>
      </c>
      <c r="S566" s="10">
        <f>IF(N566&gt;0,TODAY()-N566,"")</f>
        <v>346</v>
      </c>
    </row>
    <row r="567" ht="17" customHeight="1" spans="1:19" x14ac:dyDescent="0.25">
      <c r="A567" s="3" t="s">
        <v>20</v>
      </c>
      <c r="B567" s="3" t="s">
        <v>911</v>
      </c>
      <c r="C567" s="3" t="s">
        <v>1153</v>
      </c>
      <c r="D567" s="3" t="s">
        <v>1154</v>
      </c>
      <c r="E567" s="4">
        <v>19</v>
      </c>
      <c r="F567" s="5">
        <v>75</v>
      </c>
      <c r="G567" s="6">
        <v>45849</v>
      </c>
      <c r="H567" s="5">
        <v>75</v>
      </c>
      <c r="I567" s="7" t="s">
        <v>24</v>
      </c>
      <c r="J567" s="5"/>
      <c r="K567" s="8" t="str">
        <f>IF(AND(H567&gt;0,J567&gt;0),(J567-H567)/H567,"")</f>
        <v/>
      </c>
      <c r="L567" s="5"/>
      <c r="M567" s="8" t="str">
        <f>IF(AND(J567&gt;0,L567&gt;0),(L567-J567)/J567,IF(AND(H567&gt;0,L567&gt;0),(L567-H567)/H567,""))</f>
        <v/>
      </c>
      <c r="N567" s="6">
        <v>45919</v>
      </c>
      <c r="O567" s="5">
        <v>75</v>
      </c>
      <c r="P567" s="8" t="str">
        <f>IF(AND(L567&gt;0,O567&gt;0),(O567-L567)/L567,"")</f>
        <v/>
      </c>
      <c r="Q567" s="9">
        <v>35</v>
      </c>
      <c r="R567" s="9">
        <v>3</v>
      </c>
      <c r="S567" s="10">
        <f>IF(N567&gt;0,TODAY()-N567,"")</f>
        <v>192</v>
      </c>
    </row>
    <row r="568" ht="17" customHeight="1" spans="1:19" x14ac:dyDescent="0.25">
      <c r="A568" s="11" t="s">
        <v>20</v>
      </c>
      <c r="B568" s="11" t="s">
        <v>911</v>
      </c>
      <c r="C568" s="11" t="s">
        <v>1155</v>
      </c>
      <c r="D568" s="11" t="s">
        <v>1156</v>
      </c>
      <c r="E568" s="12">
        <v>42</v>
      </c>
      <c r="F568" s="13">
        <v>35.71419047619048</v>
      </c>
      <c r="G568" s="14">
        <v>45849</v>
      </c>
      <c r="H568" s="13">
        <v>33.33</v>
      </c>
      <c r="I568" s="15" t="s">
        <v>54</v>
      </c>
      <c r="J568" s="13">
        <v>37.5</v>
      </c>
      <c r="K568" s="20">
        <f>IF(AND(H568&gt;0,J568&gt;0),(J568-H568)/H568,"")</f>
        <v>0.12511251125112516</v>
      </c>
      <c r="L568" s="13"/>
      <c r="M568" s="16" t="str">
        <f>IF(AND(J568&gt;0,L568&gt;0),(L568-J568)/J568,IF(AND(H568&gt;0,L568&gt;0),(L568-H568)/H568,""))</f>
        <v/>
      </c>
      <c r="N568" s="14">
        <v>45994</v>
      </c>
      <c r="O568" s="13">
        <v>37.5</v>
      </c>
      <c r="P568" s="16" t="str">
        <f>IF(AND(L568&gt;0,O568&gt;0),(O568-L568)/L568,"")</f>
        <v/>
      </c>
      <c r="Q568" s="18">
        <v>36</v>
      </c>
      <c r="R568" s="18">
        <v>5</v>
      </c>
      <c r="S568" s="21">
        <f>IF(N568&gt;0,TODAY()-N568,"")</f>
        <v>117</v>
      </c>
    </row>
    <row r="569" ht="17" customHeight="1" spans="1:19" x14ac:dyDescent="0.25">
      <c r="A569" s="3" t="s">
        <v>20</v>
      </c>
      <c r="B569" s="3" t="s">
        <v>911</v>
      </c>
      <c r="C569" s="3" t="s">
        <v>1157</v>
      </c>
      <c r="D569" s="3" t="s">
        <v>1158</v>
      </c>
      <c r="E569" s="4">
        <v>42</v>
      </c>
      <c r="F569" s="5">
        <v>344.04571428571427</v>
      </c>
      <c r="G569" s="6">
        <v>45849</v>
      </c>
      <c r="H569" s="5">
        <v>325</v>
      </c>
      <c r="I569" s="7" t="s">
        <v>54</v>
      </c>
      <c r="J569" s="5">
        <v>358.33</v>
      </c>
      <c r="K569" s="22">
        <f>IF(AND(H569&gt;0,J569&gt;0),(J569-H569)/H569,"")</f>
        <v>0.1025538461538461</v>
      </c>
      <c r="L569" s="5"/>
      <c r="M569" s="8" t="str">
        <f>IF(AND(J569&gt;0,L569&gt;0),(L569-J569)/J569,IF(AND(H569&gt;0,L569&gt;0),(L569-H569)/H569,""))</f>
        <v/>
      </c>
      <c r="N569" s="6">
        <v>45994</v>
      </c>
      <c r="O569" s="5">
        <v>358.33</v>
      </c>
      <c r="P569" s="8" t="str">
        <f>IF(AND(L569&gt;0,O569&gt;0),(O569-L569)/L569,"")</f>
        <v/>
      </c>
      <c r="Q569" s="9">
        <v>36</v>
      </c>
      <c r="R569" s="9">
        <v>5</v>
      </c>
      <c r="S569" s="21">
        <f>IF(N569&gt;0,TODAY()-N569,"")</f>
        <v>117</v>
      </c>
    </row>
    <row r="570" ht="17" customHeight="1" spans="1:19" x14ac:dyDescent="0.25">
      <c r="A570" s="11" t="s">
        <v>20</v>
      </c>
      <c r="B570" s="11" t="s">
        <v>911</v>
      </c>
      <c r="C570" s="11" t="s">
        <v>1159</v>
      </c>
      <c r="D570" s="11" t="s">
        <v>1160</v>
      </c>
      <c r="E570" s="12">
        <v>18</v>
      </c>
      <c r="F570" s="13">
        <v>62.5</v>
      </c>
      <c r="G570" s="14">
        <v>45849</v>
      </c>
      <c r="H570" s="13">
        <v>62.5</v>
      </c>
      <c r="I570" s="15" t="s">
        <v>24</v>
      </c>
      <c r="J570" s="13"/>
      <c r="K570" s="16" t="str">
        <f>IF(AND(H570&gt;0,J570&gt;0),(J570-H570)/H570,"")</f>
        <v/>
      </c>
      <c r="L570" s="13"/>
      <c r="M570" s="16" t="str">
        <f>IF(AND(J570&gt;0,L570&gt;0),(L570-J570)/J570,IF(AND(H570&gt;0,L570&gt;0),(L570-H570)/H570,""))</f>
        <v/>
      </c>
      <c r="N570" s="14">
        <v>45919</v>
      </c>
      <c r="O570" s="13">
        <v>62.5</v>
      </c>
      <c r="P570" s="16" t="str">
        <f>IF(AND(L570&gt;0,O570&gt;0),(O570-L570)/L570,"")</f>
        <v/>
      </c>
      <c r="Q570" s="18">
        <v>35</v>
      </c>
      <c r="R570" s="18">
        <v>3</v>
      </c>
      <c r="S570" s="10">
        <f>IF(N570&gt;0,TODAY()-N570,"")</f>
        <v>192</v>
      </c>
    </row>
    <row r="571" ht="17" customHeight="1" spans="1:19" x14ac:dyDescent="0.25">
      <c r="A571" s="3" t="s">
        <v>20</v>
      </c>
      <c r="B571" s="3" t="s">
        <v>911</v>
      </c>
      <c r="C571" s="3" t="s">
        <v>1161</v>
      </c>
      <c r="D571" s="3" t="s">
        <v>1162</v>
      </c>
      <c r="E571" s="4">
        <v>37</v>
      </c>
      <c r="F571" s="5">
        <v>104.05297297297298</v>
      </c>
      <c r="G571" s="6">
        <v>45849</v>
      </c>
      <c r="H571" s="5">
        <v>100</v>
      </c>
      <c r="I571" s="7" t="s">
        <v>60</v>
      </c>
      <c r="J571" s="5">
        <v>108.33</v>
      </c>
      <c r="K571" s="24">
        <f>IF(AND(H571&gt;0,J571&gt;0),(J571-H571)/H571,"")</f>
        <v>0.08329999999999999</v>
      </c>
      <c r="L571" s="5"/>
      <c r="M571" s="8" t="str">
        <f>IF(AND(J571&gt;0,L571&gt;0),(L571-J571)/J571,IF(AND(H571&gt;0,L571&gt;0),(L571-H571)/H571,""))</f>
        <v/>
      </c>
      <c r="N571" s="6">
        <v>46064</v>
      </c>
      <c r="O571" s="5">
        <v>108.33</v>
      </c>
      <c r="P571" s="24">
        <f>IF(AND(L571&gt;0,O571&gt;0),(O571-L571)/L571,"")</f>
        <v>0</v>
      </c>
      <c r="Q571" s="9">
        <v>54</v>
      </c>
      <c r="R571" s="9">
        <v>5</v>
      </c>
      <c r="S571" s="9">
        <f>IF(N571&gt;0,TODAY()-N571,"")</f>
        <v>47</v>
      </c>
    </row>
    <row r="572" ht="17" customHeight="1" spans="1:19" x14ac:dyDescent="0.25">
      <c r="A572" s="11" t="s">
        <v>20</v>
      </c>
      <c r="B572" s="11" t="s">
        <v>911</v>
      </c>
      <c r="C572" s="11" t="s">
        <v>1163</v>
      </c>
      <c r="D572" s="11" t="s">
        <v>1164</v>
      </c>
      <c r="E572" s="12">
        <v>183</v>
      </c>
      <c r="F572" s="13">
        <v>88.7883606557377</v>
      </c>
      <c r="G572" s="14">
        <v>45692</v>
      </c>
      <c r="H572" s="13">
        <v>75</v>
      </c>
      <c r="I572" s="15" t="s">
        <v>24</v>
      </c>
      <c r="J572" s="13"/>
      <c r="K572" s="16" t="str">
        <f>IF(AND(H572&gt;0,J572&gt;0),(J572-H572)/H572,"")</f>
        <v/>
      </c>
      <c r="L572" s="13"/>
      <c r="M572" s="16" t="str">
        <f>IF(AND(J572&gt;0,L572&gt;0),(L572-J572)/J572,IF(AND(H572&gt;0,L572&gt;0),(L572-H572)/H572,""))</f>
        <v/>
      </c>
      <c r="N572" s="14">
        <v>46062</v>
      </c>
      <c r="O572" s="13">
        <v>110</v>
      </c>
      <c r="P572" s="23">
        <f>IF(AND(L572&gt;0,O572&gt;0),(O572-L572)/L572,"")</f>
        <v>0.4666666666666666</v>
      </c>
      <c r="Q572" s="18">
        <v>62</v>
      </c>
      <c r="R572" s="18">
        <v>7</v>
      </c>
      <c r="S572" s="18">
        <f>IF(N572&gt;0,TODAY()-N572,"")</f>
        <v>49</v>
      </c>
    </row>
    <row r="573" ht="17" customHeight="1" spans="1:19" x14ac:dyDescent="0.25">
      <c r="A573" s="3" t="s">
        <v>20</v>
      </c>
      <c r="B573" s="3" t="s">
        <v>911</v>
      </c>
      <c r="C573" s="3" t="s">
        <v>1165</v>
      </c>
      <c r="D573" s="3" t="s">
        <v>1166</v>
      </c>
      <c r="E573" s="4">
        <v>50</v>
      </c>
      <c r="F573" s="5">
        <v>200</v>
      </c>
      <c r="G573" s="6">
        <v>45691</v>
      </c>
      <c r="H573" s="5">
        <v>200</v>
      </c>
      <c r="I573" s="7" t="s">
        <v>24</v>
      </c>
      <c r="J573" s="5"/>
      <c r="K573" s="8" t="str">
        <f>IF(AND(H573&gt;0,J573&gt;0),(J573-H573)/H573,"")</f>
        <v/>
      </c>
      <c r="L573" s="5"/>
      <c r="M573" s="8" t="str">
        <f>IF(AND(J573&gt;0,L573&gt;0),(L573-J573)/J573,IF(AND(H573&gt;0,L573&gt;0),(L573-H573)/H573,""))</f>
        <v/>
      </c>
      <c r="N573" s="6">
        <v>45691</v>
      </c>
      <c r="O573" s="5">
        <v>200</v>
      </c>
      <c r="P573" s="8" t="str">
        <f>IF(AND(L573&gt;0,O573&gt;0),(O573-L573)/L573,"")</f>
        <v/>
      </c>
      <c r="Q573" s="9"/>
      <c r="R573" s="9">
        <v>1</v>
      </c>
      <c r="S573" s="10">
        <f>IF(N573&gt;0,TODAY()-N573,"")</f>
        <v>420</v>
      </c>
    </row>
    <row r="574" ht="17" customHeight="1" spans="1:19" x14ac:dyDescent="0.25">
      <c r="A574" s="11" t="s">
        <v>20</v>
      </c>
      <c r="B574" s="11" t="s">
        <v>911</v>
      </c>
      <c r="C574" s="11" t="s">
        <v>1167</v>
      </c>
      <c r="D574" s="11" t="s">
        <v>1168</v>
      </c>
      <c r="E574" s="12">
        <v>38</v>
      </c>
      <c r="F574" s="13">
        <v>192.97368421052633</v>
      </c>
      <c r="G574" s="14">
        <v>46084</v>
      </c>
      <c r="H574" s="13">
        <v>191</v>
      </c>
      <c r="I574" s="15" t="s">
        <v>24</v>
      </c>
      <c r="J574" s="13"/>
      <c r="K574" s="16" t="str">
        <f>IF(AND(H574&gt;0,J574&gt;0),(J574-H574)/H574,"")</f>
        <v/>
      </c>
      <c r="L574" s="13"/>
      <c r="M574" s="16" t="str">
        <f>IF(AND(J574&gt;0,L574&gt;0),(L574-J574)/J574,IF(AND(H574&gt;0,L574&gt;0),(L574-H574)/H574,""))</f>
        <v/>
      </c>
      <c r="N574" s="14">
        <v>46104</v>
      </c>
      <c r="O574" s="13">
        <v>194</v>
      </c>
      <c r="P574" s="17">
        <f>IF(AND(L574&gt;0,O574&gt;0),(O574-L574)/L574,"")</f>
        <v>0.015706806282722512</v>
      </c>
      <c r="Q574" s="18">
        <v>20</v>
      </c>
      <c r="R574" s="18">
        <v>2</v>
      </c>
      <c r="S574" s="18">
        <f>IF(N574&gt;0,TODAY()-N574,"")</f>
        <v>7</v>
      </c>
    </row>
    <row r="575" ht="17" customHeight="1" spans="1:19" x14ac:dyDescent="0.25">
      <c r="A575" s="3" t="s">
        <v>20</v>
      </c>
      <c r="B575" s="3" t="s">
        <v>911</v>
      </c>
      <c r="C575" s="3" t="s">
        <v>1169</v>
      </c>
      <c r="D575" s="3" t="s">
        <v>1170</v>
      </c>
      <c r="E575" s="4">
        <v>108</v>
      </c>
      <c r="F575" s="5">
        <v>287.4074074074074</v>
      </c>
      <c r="G575" s="6">
        <v>45779</v>
      </c>
      <c r="H575" s="5">
        <v>258</v>
      </c>
      <c r="I575" s="7" t="s">
        <v>60</v>
      </c>
      <c r="J575" s="5">
        <v>302</v>
      </c>
      <c r="K575" s="22">
        <f>IF(AND(H575&gt;0,J575&gt;0),(J575-H575)/H575,"")</f>
        <v>0.1705426356589147</v>
      </c>
      <c r="L575" s="5"/>
      <c r="M575" s="8" t="str">
        <f>IF(AND(J575&gt;0,L575&gt;0),(L575-J575)/J575,IF(AND(H575&gt;0,L575&gt;0),(L575-H575)/H575,""))</f>
        <v/>
      </c>
      <c r="N575" s="6">
        <v>46104</v>
      </c>
      <c r="O575" s="5">
        <v>312</v>
      </c>
      <c r="P575" s="24">
        <f>IF(AND(L575&gt;0,O575&gt;0),(O575-L575)/L575,"")</f>
        <v>0.033112582781456956</v>
      </c>
      <c r="Q575" s="9">
        <v>108</v>
      </c>
      <c r="R575" s="9">
        <v>4</v>
      </c>
      <c r="S575" s="9">
        <f>IF(N575&gt;0,TODAY()-N575,"")</f>
        <v>7</v>
      </c>
    </row>
    <row r="576" ht="17" customHeight="1" spans="1:19" x14ac:dyDescent="0.25">
      <c r="A576" s="11" t="s">
        <v>20</v>
      </c>
      <c r="B576" s="11" t="s">
        <v>911</v>
      </c>
      <c r="C576" s="11" t="s">
        <v>1171</v>
      </c>
      <c r="D576" s="11" t="s">
        <v>1172</v>
      </c>
      <c r="E576" s="12">
        <v>1</v>
      </c>
      <c r="F576" s="13">
        <v>6716.85</v>
      </c>
      <c r="G576" s="14">
        <v>45842</v>
      </c>
      <c r="H576" s="13">
        <v>6716.85</v>
      </c>
      <c r="I576" s="15" t="s">
        <v>24</v>
      </c>
      <c r="J576" s="13"/>
      <c r="K576" s="16" t="str">
        <f>IF(AND(H576&gt;0,J576&gt;0),(J576-H576)/H576,"")</f>
        <v/>
      </c>
      <c r="L576" s="13"/>
      <c r="M576" s="16" t="str">
        <f>IF(AND(J576&gt;0,L576&gt;0),(L576-J576)/J576,IF(AND(H576&gt;0,L576&gt;0),(L576-H576)/H576,""))</f>
        <v/>
      </c>
      <c r="N576" s="14">
        <v>45842</v>
      </c>
      <c r="O576" s="13">
        <v>6716.85</v>
      </c>
      <c r="P576" s="16" t="str">
        <f>IF(AND(L576&gt;0,O576&gt;0),(O576-L576)/L576,"")</f>
        <v/>
      </c>
      <c r="Q576" s="18"/>
      <c r="R576" s="18">
        <v>1</v>
      </c>
      <c r="S576" s="10">
        <f>IF(N576&gt;0,TODAY()-N576,"")</f>
        <v>269</v>
      </c>
    </row>
    <row r="577" ht="17" customHeight="1" spans="1:19" x14ac:dyDescent="0.25">
      <c r="A577" s="3" t="s">
        <v>20</v>
      </c>
      <c r="B577" s="3" t="s">
        <v>911</v>
      </c>
      <c r="C577" s="3" t="s">
        <v>1173</v>
      </c>
      <c r="D577" s="3" t="s">
        <v>1174</v>
      </c>
      <c r="E577" s="4">
        <v>18.7575</v>
      </c>
      <c r="F577" s="5">
        <v>1769.3200053312007</v>
      </c>
      <c r="G577" s="6">
        <v>46017</v>
      </c>
      <c r="H577" s="5">
        <v>1769.32</v>
      </c>
      <c r="I577" s="7" t="s">
        <v>54</v>
      </c>
      <c r="J577" s="5">
        <v>1769.32</v>
      </c>
      <c r="K577" s="24">
        <f>IF(AND(H577&gt;0,J577&gt;0),(J577-H577)/H577,"")</f>
        <v>0</v>
      </c>
      <c r="L577" s="5"/>
      <c r="M577" s="8" t="str">
        <f>IF(AND(J577&gt;0,L577&gt;0),(L577-J577)/J577,IF(AND(H577&gt;0,L577&gt;0),(L577-H577)/H577,""))</f>
        <v/>
      </c>
      <c r="N577" s="6">
        <v>46017</v>
      </c>
      <c r="O577" s="5">
        <v>1769.32</v>
      </c>
      <c r="P577" s="8" t="str">
        <f>IF(AND(L577&gt;0,O577&gt;0),(O577-L577)/L577,"")</f>
        <v/>
      </c>
      <c r="Q577" s="9"/>
      <c r="R577" s="9">
        <v>1</v>
      </c>
      <c r="S577" s="21">
        <f>IF(N577&gt;0,TODAY()-N577,"")</f>
        <v>94</v>
      </c>
    </row>
    <row r="578" ht="17" customHeight="1" spans="1:19" x14ac:dyDescent="0.25">
      <c r="A578" s="11" t="s">
        <v>20</v>
      </c>
      <c r="B578" s="11" t="s">
        <v>911</v>
      </c>
      <c r="C578" s="11" t="s">
        <v>1175</v>
      </c>
      <c r="D578" s="11" t="s">
        <v>1176</v>
      </c>
      <c r="E578" s="12">
        <v>1</v>
      </c>
      <c r="F578" s="13">
        <v>155138.95</v>
      </c>
      <c r="G578" s="14">
        <v>45714</v>
      </c>
      <c r="H578" s="13">
        <v>155138.95</v>
      </c>
      <c r="I578" s="15" t="s">
        <v>24</v>
      </c>
      <c r="J578" s="13"/>
      <c r="K578" s="16" t="str">
        <f>IF(AND(H578&gt;0,J578&gt;0),(J578-H578)/H578,"")</f>
        <v/>
      </c>
      <c r="L578" s="13"/>
      <c r="M578" s="16" t="str">
        <f>IF(AND(J578&gt;0,L578&gt;0),(L578-J578)/J578,IF(AND(H578&gt;0,L578&gt;0),(L578-H578)/H578,""))</f>
        <v/>
      </c>
      <c r="N578" s="14">
        <v>45714</v>
      </c>
      <c r="O578" s="13">
        <v>155138.95</v>
      </c>
      <c r="P578" s="16" t="str">
        <f>IF(AND(L578&gt;0,O578&gt;0),(O578-L578)/L578,"")</f>
        <v/>
      </c>
      <c r="Q578" s="18"/>
      <c r="R578" s="18">
        <v>1</v>
      </c>
      <c r="S578" s="10">
        <f>IF(N578&gt;0,TODAY()-N578,"")</f>
        <v>397</v>
      </c>
    </row>
    <row r="579" ht="17" customHeight="1" spans="1:19" x14ac:dyDescent="0.25">
      <c r="A579" s="3" t="s">
        <v>20</v>
      </c>
      <c r="B579" s="3" t="s">
        <v>911</v>
      </c>
      <c r="C579" s="3" t="s">
        <v>1177</v>
      </c>
      <c r="D579" s="3" t="s">
        <v>1178</v>
      </c>
      <c r="E579" s="4">
        <v>18</v>
      </c>
      <c r="F579" s="5">
        <v>756.4555555555556</v>
      </c>
      <c r="G579" s="6">
        <v>45918</v>
      </c>
      <c r="H579" s="5">
        <v>757.68</v>
      </c>
      <c r="I579" s="7" t="s">
        <v>24</v>
      </c>
      <c r="J579" s="5"/>
      <c r="K579" s="8" t="str">
        <f>IF(AND(H579&gt;0,J579&gt;0),(J579-H579)/H579,"")</f>
        <v/>
      </c>
      <c r="L579" s="5"/>
      <c r="M579" s="8" t="str">
        <f>IF(AND(J579&gt;0,L579&gt;0),(L579-J579)/J579,IF(AND(H579&gt;0,L579&gt;0),(L579-H579)/H579,""))</f>
        <v/>
      </c>
      <c r="N579" s="6">
        <v>45927</v>
      </c>
      <c r="O579" s="5">
        <v>754</v>
      </c>
      <c r="P579" s="8" t="str">
        <f>IF(AND(L579&gt;0,O579&gt;0),(O579-L579)/L579,"")</f>
        <v/>
      </c>
      <c r="Q579" s="9">
        <v>9</v>
      </c>
      <c r="R579" s="9">
        <v>2</v>
      </c>
      <c r="S579" s="10">
        <f>IF(N579&gt;0,TODAY()-N579,"")</f>
        <v>184</v>
      </c>
    </row>
    <row r="580" ht="17" customHeight="1" spans="1:19" x14ac:dyDescent="0.25">
      <c r="A580" s="11" t="s">
        <v>20</v>
      </c>
      <c r="B580" s="11" t="s">
        <v>911</v>
      </c>
      <c r="C580" s="11" t="s">
        <v>1179</v>
      </c>
      <c r="D580" s="11" t="s">
        <v>1180</v>
      </c>
      <c r="E580" s="12">
        <v>153</v>
      </c>
      <c r="F580" s="13">
        <v>3689.7705343790853</v>
      </c>
      <c r="G580" s="14">
        <v>45663</v>
      </c>
      <c r="H580" s="13">
        <v>2927.49</v>
      </c>
      <c r="I580" s="15" t="s">
        <v>54</v>
      </c>
      <c r="J580" s="13">
        <v>4453.3</v>
      </c>
      <c r="K580" s="23">
        <f>IF(AND(H580&gt;0,J580&gt;0),(J580-H580)/H580,"")</f>
        <v>0.521200755596091</v>
      </c>
      <c r="L580" s="13">
        <v>4579.17</v>
      </c>
      <c r="M580" s="17">
        <f>IF(AND(J580&gt;0,L580&gt;0),(L580-J580)/J580,IF(AND(H580&gt;0,L580&gt;0),(L580-H580)/H580,""))</f>
        <v>0.028264433117014324</v>
      </c>
      <c r="N580" s="14">
        <v>46063</v>
      </c>
      <c r="O580" s="13">
        <v>4593.84</v>
      </c>
      <c r="P580" s="17">
        <f>IF(AND(L580&gt;0,O580&gt;0),(O580-L580)/L580,"")</f>
        <v>0.003203637340391397</v>
      </c>
      <c r="Q580" s="18">
        <v>20</v>
      </c>
      <c r="R580" s="18">
        <v>21</v>
      </c>
      <c r="S580" s="18">
        <f>IF(N580&gt;0,TODAY()-N580,"")</f>
        <v>48</v>
      </c>
    </row>
    <row r="581" ht="17" customHeight="1" spans="1:19" x14ac:dyDescent="0.25">
      <c r="A581" s="3" t="s">
        <v>20</v>
      </c>
      <c r="B581" s="3" t="s">
        <v>911</v>
      </c>
      <c r="C581" s="3" t="s">
        <v>1181</v>
      </c>
      <c r="D581" s="3" t="s">
        <v>1182</v>
      </c>
      <c r="E581" s="4">
        <v>1</v>
      </c>
      <c r="F581" s="5">
        <v>9000</v>
      </c>
      <c r="G581" s="6">
        <v>45713</v>
      </c>
      <c r="H581" s="5">
        <v>9000</v>
      </c>
      <c r="I581" s="7" t="s">
        <v>24</v>
      </c>
      <c r="J581" s="5"/>
      <c r="K581" s="8" t="str">
        <f>IF(AND(H581&gt;0,J581&gt;0),(J581-H581)/H581,"")</f>
        <v/>
      </c>
      <c r="L581" s="5"/>
      <c r="M581" s="8" t="str">
        <f>IF(AND(J581&gt;0,L581&gt;0),(L581-J581)/J581,IF(AND(H581&gt;0,L581&gt;0),(L581-H581)/H581,""))</f>
        <v/>
      </c>
      <c r="N581" s="6">
        <v>45713</v>
      </c>
      <c r="O581" s="5">
        <v>9000</v>
      </c>
      <c r="P581" s="8" t="str">
        <f>IF(AND(L581&gt;0,O581&gt;0),(O581-L581)/L581,"")</f>
        <v/>
      </c>
      <c r="Q581" s="9"/>
      <c r="R581" s="9">
        <v>1</v>
      </c>
      <c r="S581" s="10">
        <f>IF(N581&gt;0,TODAY()-N581,"")</f>
        <v>398</v>
      </c>
    </row>
    <row r="582" ht="17" customHeight="1" spans="1:19" x14ac:dyDescent="0.25">
      <c r="A582" s="11" t="s">
        <v>20</v>
      </c>
      <c r="B582" s="11" t="s">
        <v>911</v>
      </c>
      <c r="C582" s="11" t="s">
        <v>1183</v>
      </c>
      <c r="D582" s="11" t="s">
        <v>1184</v>
      </c>
      <c r="E582" s="12">
        <v>1</v>
      </c>
      <c r="F582" s="13">
        <v>11800</v>
      </c>
      <c r="G582" s="14">
        <v>45713</v>
      </c>
      <c r="H582" s="13">
        <v>11800</v>
      </c>
      <c r="I582" s="15" t="s">
        <v>24</v>
      </c>
      <c r="J582" s="13"/>
      <c r="K582" s="16" t="str">
        <f>IF(AND(H582&gt;0,J582&gt;0),(J582-H582)/H582,"")</f>
        <v/>
      </c>
      <c r="L582" s="13"/>
      <c r="M582" s="16" t="str">
        <f>IF(AND(J582&gt;0,L582&gt;0),(L582-J582)/J582,IF(AND(H582&gt;0,L582&gt;0),(L582-H582)/H582,""))</f>
        <v/>
      </c>
      <c r="N582" s="14">
        <v>45713</v>
      </c>
      <c r="O582" s="13">
        <v>11800</v>
      </c>
      <c r="P582" s="16" t="str">
        <f>IF(AND(L582&gt;0,O582&gt;0),(O582-L582)/L582,"")</f>
        <v/>
      </c>
      <c r="Q582" s="18"/>
      <c r="R582" s="18">
        <v>1</v>
      </c>
      <c r="S582" s="10">
        <f>IF(N582&gt;0,TODAY()-N582,"")</f>
        <v>398</v>
      </c>
    </row>
    <row r="583" ht="17" customHeight="1" spans="1:19" x14ac:dyDescent="0.25">
      <c r="A583" s="3" t="s">
        <v>20</v>
      </c>
      <c r="B583" s="3" t="s">
        <v>911</v>
      </c>
      <c r="C583" s="3" t="s">
        <v>1185</v>
      </c>
      <c r="D583" s="3" t="s">
        <v>1186</v>
      </c>
      <c r="E583" s="4">
        <v>2</v>
      </c>
      <c r="F583" s="5">
        <v>21250</v>
      </c>
      <c r="G583" s="6">
        <v>45667</v>
      </c>
      <c r="H583" s="5">
        <v>18500</v>
      </c>
      <c r="I583" s="7" t="s">
        <v>24</v>
      </c>
      <c r="J583" s="5"/>
      <c r="K583" s="8" t="str">
        <f>IF(AND(H583&gt;0,J583&gt;0),(J583-H583)/H583,"")</f>
        <v/>
      </c>
      <c r="L583" s="5"/>
      <c r="M583" s="8" t="str">
        <f>IF(AND(J583&gt;0,L583&gt;0),(L583-J583)/J583,IF(AND(H583&gt;0,L583&gt;0),(L583-H583)/H583,""))</f>
        <v/>
      </c>
      <c r="N583" s="6">
        <v>45740</v>
      </c>
      <c r="O583" s="5">
        <v>24000</v>
      </c>
      <c r="P583" s="8" t="str">
        <f>IF(AND(L583&gt;0,O583&gt;0),(O583-L583)/L583,"")</f>
        <v/>
      </c>
      <c r="Q583" s="9">
        <v>73</v>
      </c>
      <c r="R583" s="9">
        <v>2</v>
      </c>
      <c r="S583" s="10">
        <f>IF(N583&gt;0,TODAY()-N583,"")</f>
        <v>371</v>
      </c>
    </row>
    <row r="584" ht="17" customHeight="1" spans="1:19" x14ac:dyDescent="0.25">
      <c r="A584" s="11" t="s">
        <v>20</v>
      </c>
      <c r="B584" s="11" t="s">
        <v>911</v>
      </c>
      <c r="C584" s="11" t="s">
        <v>1187</v>
      </c>
      <c r="D584" s="11" t="s">
        <v>1188</v>
      </c>
      <c r="E584" s="12">
        <v>1</v>
      </c>
      <c r="F584" s="13">
        <v>13000</v>
      </c>
      <c r="G584" s="14">
        <v>46086</v>
      </c>
      <c r="H584" s="13">
        <v>13000</v>
      </c>
      <c r="I584" s="15" t="s">
        <v>24</v>
      </c>
      <c r="J584" s="13"/>
      <c r="K584" s="16" t="str">
        <f>IF(AND(H584&gt;0,J584&gt;0),(J584-H584)/H584,"")</f>
        <v/>
      </c>
      <c r="L584" s="13"/>
      <c r="M584" s="16" t="str">
        <f>IF(AND(J584&gt;0,L584&gt;0),(L584-J584)/J584,IF(AND(H584&gt;0,L584&gt;0),(L584-H584)/H584,""))</f>
        <v/>
      </c>
      <c r="N584" s="14">
        <v>46086</v>
      </c>
      <c r="O584" s="13">
        <v>13000</v>
      </c>
      <c r="P584" s="17">
        <f>IF(AND(L584&gt;0,O584&gt;0),(O584-L584)/L584,"")</f>
        <v>0</v>
      </c>
      <c r="Q584" s="18"/>
      <c r="R584" s="18">
        <v>1</v>
      </c>
      <c r="S584" s="18">
        <f>IF(N584&gt;0,TODAY()-N584,"")</f>
        <v>25</v>
      </c>
    </row>
    <row r="585" ht="17" customHeight="1" spans="1:19" x14ac:dyDescent="0.25">
      <c r="A585" s="3" t="s">
        <v>20</v>
      </c>
      <c r="B585" s="3" t="s">
        <v>911</v>
      </c>
      <c r="C585" s="3" t="s">
        <v>1189</v>
      </c>
      <c r="D585" s="3" t="s">
        <v>1190</v>
      </c>
      <c r="E585" s="4">
        <v>1</v>
      </c>
      <c r="F585" s="5">
        <v>398.3</v>
      </c>
      <c r="G585" s="6">
        <v>45783</v>
      </c>
      <c r="H585" s="5">
        <v>398.3</v>
      </c>
      <c r="I585" s="7" t="s">
        <v>24</v>
      </c>
      <c r="J585" s="5"/>
      <c r="K585" s="8" t="str">
        <f>IF(AND(H585&gt;0,J585&gt;0),(J585-H585)/H585,"")</f>
        <v/>
      </c>
      <c r="L585" s="5"/>
      <c r="M585" s="8" t="str">
        <f>IF(AND(J585&gt;0,L585&gt;0),(L585-J585)/J585,IF(AND(H585&gt;0,L585&gt;0),(L585-H585)/H585,""))</f>
        <v/>
      </c>
      <c r="N585" s="6">
        <v>45783</v>
      </c>
      <c r="O585" s="5">
        <v>398.3</v>
      </c>
      <c r="P585" s="8" t="str">
        <f>IF(AND(L585&gt;0,O585&gt;0),(O585-L585)/L585,"")</f>
        <v/>
      </c>
      <c r="Q585" s="9"/>
      <c r="R585" s="9">
        <v>1</v>
      </c>
      <c r="S585" s="10">
        <f>IF(N585&gt;0,TODAY()-N585,"")</f>
        <v>328</v>
      </c>
    </row>
    <row r="586" ht="17" customHeight="1" spans="1:19" x14ac:dyDescent="0.25">
      <c r="A586" s="11" t="s">
        <v>20</v>
      </c>
      <c r="B586" s="11" t="s">
        <v>911</v>
      </c>
      <c r="C586" s="11" t="s">
        <v>1191</v>
      </c>
      <c r="D586" s="11" t="s">
        <v>1192</v>
      </c>
      <c r="E586" s="12">
        <v>6</v>
      </c>
      <c r="F586" s="13">
        <v>99.82166666666666</v>
      </c>
      <c r="G586" s="14">
        <v>45713</v>
      </c>
      <c r="H586" s="13">
        <v>99.82</v>
      </c>
      <c r="I586" s="15" t="s">
        <v>24</v>
      </c>
      <c r="J586" s="13"/>
      <c r="K586" s="16" t="str">
        <f>IF(AND(H586&gt;0,J586&gt;0),(J586-H586)/H586,"")</f>
        <v/>
      </c>
      <c r="L586" s="13"/>
      <c r="M586" s="16" t="str">
        <f>IF(AND(J586&gt;0,L586&gt;0),(L586-J586)/J586,IF(AND(H586&gt;0,L586&gt;0),(L586-H586)/H586,""))</f>
        <v/>
      </c>
      <c r="N586" s="14">
        <v>45713</v>
      </c>
      <c r="O586" s="13">
        <v>99.82</v>
      </c>
      <c r="P586" s="16" t="str">
        <f>IF(AND(L586&gt;0,O586&gt;0),(O586-L586)/L586,"")</f>
        <v/>
      </c>
      <c r="Q586" s="18"/>
      <c r="R586" s="18">
        <v>1</v>
      </c>
      <c r="S586" s="10">
        <f>IF(N586&gt;0,TODAY()-N586,"")</f>
        <v>398</v>
      </c>
    </row>
    <row r="587" ht="17" customHeight="1" spans="1:19" x14ac:dyDescent="0.25">
      <c r="A587" s="3" t="s">
        <v>20</v>
      </c>
      <c r="B587" s="3" t="s">
        <v>911</v>
      </c>
      <c r="C587" s="3" t="s">
        <v>1193</v>
      </c>
      <c r="D587" s="3" t="s">
        <v>1194</v>
      </c>
      <c r="E587" s="4">
        <v>70</v>
      </c>
      <c r="F587" s="5">
        <v>799.9047142857144</v>
      </c>
      <c r="G587" s="6">
        <v>45754</v>
      </c>
      <c r="H587" s="5">
        <v>756.93</v>
      </c>
      <c r="I587" s="7" t="s">
        <v>60</v>
      </c>
      <c r="J587" s="5">
        <v>843.45</v>
      </c>
      <c r="K587" s="22">
        <f>IF(AND(H587&gt;0,J587&gt;0),(J587-H587)/H587,"")</f>
        <v>0.1143038325868972</v>
      </c>
      <c r="L587" s="5">
        <v>861.85</v>
      </c>
      <c r="M587" s="24">
        <f>IF(AND(J587&gt;0,L587&gt;0),(L587-J587)/J587,IF(AND(H587&gt;0,L587&gt;0),(L587-H587)/H587,""))</f>
        <v>0.021815163910130983</v>
      </c>
      <c r="N587" s="6">
        <v>46064</v>
      </c>
      <c r="O587" s="5">
        <v>870.9</v>
      </c>
      <c r="P587" s="24">
        <f>IF(AND(L587&gt;0,O587&gt;0),(O587-L587)/L587,"")</f>
        <v>0.01050066716946099</v>
      </c>
      <c r="Q587" s="9">
        <v>78</v>
      </c>
      <c r="R587" s="9">
        <v>5</v>
      </c>
      <c r="S587" s="9">
        <f>IF(N587&gt;0,TODAY()-N587,"")</f>
        <v>47</v>
      </c>
    </row>
    <row r="588" ht="17" customHeight="1" spans="1:19" x14ac:dyDescent="0.25">
      <c r="A588" s="11" t="s">
        <v>20</v>
      </c>
      <c r="B588" s="11" t="s">
        <v>911</v>
      </c>
      <c r="C588" s="11" t="s">
        <v>1195</v>
      </c>
      <c r="D588" s="11" t="s">
        <v>1196</v>
      </c>
      <c r="E588" s="12">
        <v>20</v>
      </c>
      <c r="F588" s="13">
        <v>2199.6115</v>
      </c>
      <c r="G588" s="14">
        <v>45708</v>
      </c>
      <c r="H588" s="13">
        <v>1890</v>
      </c>
      <c r="I588" s="15" t="s">
        <v>24</v>
      </c>
      <c r="J588" s="13"/>
      <c r="K588" s="16" t="str">
        <f>IF(AND(H588&gt;0,J588&gt;0),(J588-H588)/H588,"")</f>
        <v/>
      </c>
      <c r="L588" s="13">
        <v>3393</v>
      </c>
      <c r="M588" s="23">
        <f>IF(AND(J588&gt;0,L588&gt;0),(L588-J588)/J588,IF(AND(H588&gt;0,L588&gt;0),(L588-H588)/H588,""))</f>
        <v>0.7952380952380952</v>
      </c>
      <c r="N588" s="14">
        <v>46050</v>
      </c>
      <c r="O588" s="13">
        <v>3393</v>
      </c>
      <c r="P588" s="16" t="str">
        <f>IF(AND(L588&gt;0,O588&gt;0),(O588-L588)/L588,"")</f>
        <v/>
      </c>
      <c r="Q588" s="18">
        <v>86</v>
      </c>
      <c r="R588" s="18">
        <v>5</v>
      </c>
      <c r="S588" s="19">
        <f>IF(N588&gt;0,TODAY()-N588,"")</f>
        <v>61</v>
      </c>
    </row>
    <row r="589" ht="17" customHeight="1" spans="1:19" x14ac:dyDescent="0.25">
      <c r="A589" s="3" t="s">
        <v>20</v>
      </c>
      <c r="B589" s="3" t="s">
        <v>911</v>
      </c>
      <c r="C589" s="3" t="s">
        <v>1197</v>
      </c>
      <c r="D589" s="3" t="s">
        <v>1198</v>
      </c>
      <c r="E589" s="4">
        <v>1</v>
      </c>
      <c r="F589" s="5">
        <v>1158.4</v>
      </c>
      <c r="G589" s="6">
        <v>45713</v>
      </c>
      <c r="H589" s="5">
        <v>1158.4</v>
      </c>
      <c r="I589" s="7" t="s">
        <v>24</v>
      </c>
      <c r="J589" s="5"/>
      <c r="K589" s="8" t="str">
        <f>IF(AND(H589&gt;0,J589&gt;0),(J589-H589)/H589,"")</f>
        <v/>
      </c>
      <c r="L589" s="5"/>
      <c r="M589" s="8" t="str">
        <f>IF(AND(J589&gt;0,L589&gt;0),(L589-J589)/J589,IF(AND(H589&gt;0,L589&gt;0),(L589-H589)/H589,""))</f>
        <v/>
      </c>
      <c r="N589" s="6">
        <v>45713</v>
      </c>
      <c r="O589" s="5">
        <v>1158.4</v>
      </c>
      <c r="P589" s="8" t="str">
        <f>IF(AND(L589&gt;0,O589&gt;0),(O589-L589)/L589,"")</f>
        <v/>
      </c>
      <c r="Q589" s="9"/>
      <c r="R589" s="9">
        <v>1</v>
      </c>
      <c r="S589" s="10">
        <f>IF(N589&gt;0,TODAY()-N589,"")</f>
        <v>398</v>
      </c>
    </row>
    <row r="590" ht="17" customHeight="1" spans="1:19" x14ac:dyDescent="0.25">
      <c r="A590" s="11" t="s">
        <v>20</v>
      </c>
      <c r="B590" s="11" t="s">
        <v>911</v>
      </c>
      <c r="C590" s="11" t="s">
        <v>1199</v>
      </c>
      <c r="D590" s="11" t="s">
        <v>1200</v>
      </c>
      <c r="E590" s="12">
        <v>2</v>
      </c>
      <c r="F590" s="13">
        <v>6151.875</v>
      </c>
      <c r="G590" s="14">
        <v>45818</v>
      </c>
      <c r="H590" s="13">
        <v>5673.75</v>
      </c>
      <c r="I590" s="15" t="s">
        <v>24</v>
      </c>
      <c r="J590" s="13"/>
      <c r="K590" s="16" t="str">
        <f>IF(AND(H590&gt;0,J590&gt;0),(J590-H590)/H590,"")</f>
        <v/>
      </c>
      <c r="L590" s="13"/>
      <c r="M590" s="16" t="str">
        <f>IF(AND(J590&gt;0,L590&gt;0),(L590-J590)/J590,IF(AND(H590&gt;0,L590&gt;0),(L590-H590)/H590,""))</f>
        <v/>
      </c>
      <c r="N590" s="14">
        <v>46080</v>
      </c>
      <c r="O590" s="13">
        <v>6630</v>
      </c>
      <c r="P590" s="20">
        <f>IF(AND(L590&gt;0,O590&gt;0),(O590-L590)/L590,"")</f>
        <v>0.16853932584269665</v>
      </c>
      <c r="Q590" s="18">
        <v>262</v>
      </c>
      <c r="R590" s="18">
        <v>2</v>
      </c>
      <c r="S590" s="18">
        <f>IF(N590&gt;0,TODAY()-N590,"")</f>
        <v>31</v>
      </c>
    </row>
    <row r="591" ht="17" customHeight="1" spans="1:19" x14ac:dyDescent="0.25">
      <c r="A591" s="3" t="s">
        <v>20</v>
      </c>
      <c r="B591" s="3" t="s">
        <v>911</v>
      </c>
      <c r="C591" s="3" t="s">
        <v>1201</v>
      </c>
      <c r="D591" s="3" t="s">
        <v>1202</v>
      </c>
      <c r="E591" s="4">
        <v>4</v>
      </c>
      <c r="F591" s="5">
        <v>97.5</v>
      </c>
      <c r="G591" s="6">
        <v>45804</v>
      </c>
      <c r="H591" s="5">
        <v>97.5</v>
      </c>
      <c r="I591" s="7" t="s">
        <v>24</v>
      </c>
      <c r="J591" s="5"/>
      <c r="K591" s="8" t="str">
        <f>IF(AND(H591&gt;0,J591&gt;0),(J591-H591)/H591,"")</f>
        <v/>
      </c>
      <c r="L591" s="5"/>
      <c r="M591" s="8" t="str">
        <f>IF(AND(J591&gt;0,L591&gt;0),(L591-J591)/J591,IF(AND(H591&gt;0,L591&gt;0),(L591-H591)/H591,""))</f>
        <v/>
      </c>
      <c r="N591" s="6">
        <v>45804</v>
      </c>
      <c r="O591" s="5">
        <v>97.5</v>
      </c>
      <c r="P591" s="8" t="str">
        <f>IF(AND(L591&gt;0,O591&gt;0),(O591-L591)/L591,"")</f>
        <v/>
      </c>
      <c r="Q591" s="9"/>
      <c r="R591" s="9">
        <v>1</v>
      </c>
      <c r="S591" s="10">
        <f>IF(N591&gt;0,TODAY()-N591,"")</f>
        <v>307</v>
      </c>
    </row>
    <row r="592" ht="17" customHeight="1" spans="1:19" x14ac:dyDescent="0.25">
      <c r="A592" s="11" t="s">
        <v>20</v>
      </c>
      <c r="B592" s="11" t="s">
        <v>911</v>
      </c>
      <c r="C592" s="11" t="s">
        <v>1203</v>
      </c>
      <c r="D592" s="11" t="s">
        <v>1204</v>
      </c>
      <c r="E592" s="12">
        <v>48</v>
      </c>
      <c r="F592" s="13">
        <v>1078.125</v>
      </c>
      <c r="G592" s="14">
        <v>45771</v>
      </c>
      <c r="H592" s="13">
        <v>1000</v>
      </c>
      <c r="I592" s="15" t="s">
        <v>57</v>
      </c>
      <c r="J592" s="13">
        <v>1000</v>
      </c>
      <c r="K592" s="17">
        <f>IF(AND(H592&gt;0,J592&gt;0),(J592-H592)/H592,"")</f>
        <v>0</v>
      </c>
      <c r="L592" s="13">
        <v>1250</v>
      </c>
      <c r="M592" s="23">
        <f>IF(AND(J592&gt;0,L592&gt;0),(L592-J592)/J592,IF(AND(H592&gt;0,L592&gt;0),(L592-H592)/H592,""))</f>
        <v>0.25</v>
      </c>
      <c r="N592" s="14">
        <v>46043</v>
      </c>
      <c r="O592" s="13">
        <v>1250</v>
      </c>
      <c r="P592" s="16" t="str">
        <f>IF(AND(L592&gt;0,O592&gt;0),(O592-L592)/L592,"")</f>
        <v/>
      </c>
      <c r="Q592" s="18">
        <v>54</v>
      </c>
      <c r="R592" s="18">
        <v>6</v>
      </c>
      <c r="S592" s="19">
        <f>IF(N592&gt;0,TODAY()-N592,"")</f>
        <v>68</v>
      </c>
    </row>
    <row r="593" ht="17" customHeight="1" spans="1:19" x14ac:dyDescent="0.25">
      <c r="A593" s="3" t="s">
        <v>20</v>
      </c>
      <c r="B593" s="3" t="s">
        <v>911</v>
      </c>
      <c r="C593" s="3" t="s">
        <v>1205</v>
      </c>
      <c r="D593" s="3" t="s">
        <v>1206</v>
      </c>
      <c r="E593" s="4">
        <v>2</v>
      </c>
      <c r="F593" s="5">
        <v>11742.89</v>
      </c>
      <c r="G593" s="6">
        <v>45727</v>
      </c>
      <c r="H593" s="5">
        <v>11742.89</v>
      </c>
      <c r="I593" s="7" t="s">
        <v>24</v>
      </c>
      <c r="J593" s="5"/>
      <c r="K593" s="8" t="str">
        <f>IF(AND(H593&gt;0,J593&gt;0),(J593-H593)/H593,"")</f>
        <v/>
      </c>
      <c r="L593" s="5"/>
      <c r="M593" s="8" t="str">
        <f>IF(AND(J593&gt;0,L593&gt;0),(L593-J593)/J593,IF(AND(H593&gt;0,L593&gt;0),(L593-H593)/H593,""))</f>
        <v/>
      </c>
      <c r="N593" s="6">
        <v>45727</v>
      </c>
      <c r="O593" s="5">
        <v>11742.89</v>
      </c>
      <c r="P593" s="8" t="str">
        <f>IF(AND(L593&gt;0,O593&gt;0),(O593-L593)/L593,"")</f>
        <v/>
      </c>
      <c r="Q593" s="9"/>
      <c r="R593" s="9">
        <v>1</v>
      </c>
      <c r="S593" s="10">
        <f>IF(N593&gt;0,TODAY()-N593,"")</f>
        <v>384</v>
      </c>
    </row>
    <row r="594" ht="17" customHeight="1" spans="1:19" x14ac:dyDescent="0.25">
      <c r="A594" s="11" t="s">
        <v>20</v>
      </c>
      <c r="B594" s="11" t="s">
        <v>911</v>
      </c>
      <c r="C594" s="11" t="s">
        <v>1207</v>
      </c>
      <c r="D594" s="11" t="s">
        <v>1208</v>
      </c>
      <c r="E594" s="12">
        <v>126</v>
      </c>
      <c r="F594" s="13">
        <v>451.2814404761906</v>
      </c>
      <c r="G594" s="14">
        <v>45692</v>
      </c>
      <c r="H594" s="13">
        <v>394.92</v>
      </c>
      <c r="I594" s="15" t="s">
        <v>54</v>
      </c>
      <c r="J594" s="13">
        <v>469.24</v>
      </c>
      <c r="K594" s="20">
        <f>IF(AND(H594&gt;0,J594&gt;0),(J594-H594)/H594,"")</f>
        <v>0.18819001316722372</v>
      </c>
      <c r="L594" s="13"/>
      <c r="M594" s="16" t="str">
        <f>IF(AND(J594&gt;0,L594&gt;0),(L594-J594)/J594,IF(AND(H594&gt;0,L594&gt;0),(L594-H594)/H594,""))</f>
        <v/>
      </c>
      <c r="N594" s="14">
        <v>46091</v>
      </c>
      <c r="O594" s="13">
        <v>484.01</v>
      </c>
      <c r="P594" s="17">
        <f>IF(AND(L594&gt;0,O594&gt;0),(O594-L594)/L594,"")</f>
        <v>0.03147642997186937</v>
      </c>
      <c r="Q594" s="18">
        <v>33</v>
      </c>
      <c r="R594" s="18">
        <v>13</v>
      </c>
      <c r="S594" s="18">
        <f>IF(N594&gt;0,TODAY()-N594,"")</f>
        <v>20</v>
      </c>
    </row>
    <row r="595" ht="17" customHeight="1" spans="1:19" x14ac:dyDescent="0.25">
      <c r="A595" s="3" t="s">
        <v>20</v>
      </c>
      <c r="B595" s="3" t="s">
        <v>911</v>
      </c>
      <c r="C595" s="3" t="s">
        <v>1209</v>
      </c>
      <c r="D595" s="3" t="s">
        <v>1210</v>
      </c>
      <c r="E595" s="4">
        <v>4</v>
      </c>
      <c r="F595" s="5">
        <v>350</v>
      </c>
      <c r="G595" s="6">
        <v>45730</v>
      </c>
      <c r="H595" s="5">
        <v>350</v>
      </c>
      <c r="I595" s="7" t="s">
        <v>24</v>
      </c>
      <c r="J595" s="5"/>
      <c r="K595" s="8" t="str">
        <f>IF(AND(H595&gt;0,J595&gt;0),(J595-H595)/H595,"")</f>
        <v/>
      </c>
      <c r="L595" s="5"/>
      <c r="M595" s="8" t="str">
        <f>IF(AND(J595&gt;0,L595&gt;0),(L595-J595)/J595,IF(AND(H595&gt;0,L595&gt;0),(L595-H595)/H595,""))</f>
        <v/>
      </c>
      <c r="N595" s="6">
        <v>45730</v>
      </c>
      <c r="O595" s="5">
        <v>350</v>
      </c>
      <c r="P595" s="8" t="str">
        <f>IF(AND(L595&gt;0,O595&gt;0),(O595-L595)/L595,"")</f>
        <v/>
      </c>
      <c r="Q595" s="9"/>
      <c r="R595" s="9">
        <v>1</v>
      </c>
      <c r="S595" s="10">
        <f>IF(N595&gt;0,TODAY()-N595,"")</f>
        <v>381</v>
      </c>
    </row>
    <row r="596" ht="17" customHeight="1" spans="1:19" x14ac:dyDescent="0.25">
      <c r="A596" s="11" t="s">
        <v>20</v>
      </c>
      <c r="B596" s="11" t="s">
        <v>911</v>
      </c>
      <c r="C596" s="11" t="s">
        <v>1211</v>
      </c>
      <c r="D596" s="11" t="s">
        <v>1212</v>
      </c>
      <c r="E596" s="12">
        <v>2.5</v>
      </c>
      <c r="F596" s="13">
        <v>5200</v>
      </c>
      <c r="G596" s="14">
        <v>45730</v>
      </c>
      <c r="H596" s="13">
        <v>5200</v>
      </c>
      <c r="I596" s="15" t="s">
        <v>24</v>
      </c>
      <c r="J596" s="13"/>
      <c r="K596" s="16" t="str">
        <f>IF(AND(H596&gt;0,J596&gt;0),(J596-H596)/H596,"")</f>
        <v/>
      </c>
      <c r="L596" s="13"/>
      <c r="M596" s="16" t="str">
        <f>IF(AND(J596&gt;0,L596&gt;0),(L596-J596)/J596,IF(AND(H596&gt;0,L596&gt;0),(L596-H596)/H596,""))</f>
        <v/>
      </c>
      <c r="N596" s="14">
        <v>45730</v>
      </c>
      <c r="O596" s="13">
        <v>5200</v>
      </c>
      <c r="P596" s="16" t="str">
        <f>IF(AND(L596&gt;0,O596&gt;0),(O596-L596)/L596,"")</f>
        <v/>
      </c>
      <c r="Q596" s="18"/>
      <c r="R596" s="18">
        <v>1</v>
      </c>
      <c r="S596" s="10">
        <f>IF(N596&gt;0,TODAY()-N596,"")</f>
        <v>381</v>
      </c>
    </row>
    <row r="597" ht="17" customHeight="1" spans="1:19" x14ac:dyDescent="0.25">
      <c r="A597" s="3" t="s">
        <v>20</v>
      </c>
      <c r="B597" s="3" t="s">
        <v>911</v>
      </c>
      <c r="C597" s="3" t="s">
        <v>1213</v>
      </c>
      <c r="D597" s="3" t="s">
        <v>1214</v>
      </c>
      <c r="E597" s="4">
        <v>8</v>
      </c>
      <c r="F597" s="5">
        <v>250</v>
      </c>
      <c r="G597" s="6">
        <v>45777</v>
      </c>
      <c r="H597" s="5">
        <v>250</v>
      </c>
      <c r="I597" s="7" t="s">
        <v>24</v>
      </c>
      <c r="J597" s="5"/>
      <c r="K597" s="8" t="str">
        <f>IF(AND(H597&gt;0,J597&gt;0),(J597-H597)/H597,"")</f>
        <v/>
      </c>
      <c r="L597" s="5"/>
      <c r="M597" s="8" t="str">
        <f>IF(AND(J597&gt;0,L597&gt;0),(L597-J597)/J597,IF(AND(H597&gt;0,L597&gt;0),(L597-H597)/H597,""))</f>
        <v/>
      </c>
      <c r="N597" s="6">
        <v>45912</v>
      </c>
      <c r="O597" s="5">
        <v>250</v>
      </c>
      <c r="P597" s="8" t="str">
        <f>IF(AND(L597&gt;0,O597&gt;0),(O597-L597)/L597,"")</f>
        <v/>
      </c>
      <c r="Q597" s="9">
        <v>135</v>
      </c>
      <c r="R597" s="9">
        <v>2</v>
      </c>
      <c r="S597" s="10">
        <f>IF(N597&gt;0,TODAY()-N597,"")</f>
        <v>199</v>
      </c>
    </row>
    <row r="598" ht="17" customHeight="1" spans="1:19" x14ac:dyDescent="0.25">
      <c r="A598" s="11" t="s">
        <v>20</v>
      </c>
      <c r="B598" s="11" t="s">
        <v>911</v>
      </c>
      <c r="C598" s="11" t="s">
        <v>1215</v>
      </c>
      <c r="D598" s="11" t="s">
        <v>1216</v>
      </c>
      <c r="E598" s="12">
        <v>6</v>
      </c>
      <c r="F598" s="13">
        <v>267.5</v>
      </c>
      <c r="G598" s="14">
        <v>45821</v>
      </c>
      <c r="H598" s="13">
        <v>375</v>
      </c>
      <c r="I598" s="15" t="s">
        <v>57</v>
      </c>
      <c r="J598" s="13">
        <v>160</v>
      </c>
      <c r="K598" s="25">
        <f>IF(AND(H598&gt;0,J598&gt;0),(J598-H598)/H598,"")</f>
        <v>-0.5733333333333334</v>
      </c>
      <c r="L598" s="13"/>
      <c r="M598" s="16" t="str">
        <f>IF(AND(J598&gt;0,L598&gt;0),(L598-J598)/J598,IF(AND(H598&gt;0,L598&gt;0),(L598-H598)/H598,""))</f>
        <v/>
      </c>
      <c r="N598" s="14">
        <v>45951</v>
      </c>
      <c r="O598" s="13">
        <v>160</v>
      </c>
      <c r="P598" s="16" t="str">
        <f>IF(AND(L598&gt;0,O598&gt;0),(O598-L598)/L598,"")</f>
        <v/>
      </c>
      <c r="Q598" s="18">
        <v>130</v>
      </c>
      <c r="R598" s="18">
        <v>2</v>
      </c>
      <c r="S598" s="21">
        <f>IF(N598&gt;0,TODAY()-N598,"")</f>
        <v>160</v>
      </c>
    </row>
    <row r="599" ht="17" customHeight="1" spans="1:19" x14ac:dyDescent="0.25">
      <c r="A599" s="3" t="s">
        <v>20</v>
      </c>
      <c r="B599" s="3" t="s">
        <v>911</v>
      </c>
      <c r="C599" s="3" t="s">
        <v>1217</v>
      </c>
      <c r="D599" s="3" t="s">
        <v>1218</v>
      </c>
      <c r="E599" s="4">
        <v>16</v>
      </c>
      <c r="F599" s="5">
        <v>445.83375</v>
      </c>
      <c r="G599" s="6">
        <v>45882</v>
      </c>
      <c r="H599" s="5">
        <v>650</v>
      </c>
      <c r="I599" s="7" t="s">
        <v>57</v>
      </c>
      <c r="J599" s="5">
        <v>416.67</v>
      </c>
      <c r="K599" s="26">
        <f>IF(AND(H599&gt;0,J599&gt;0),(J599-H599)/H599,"")</f>
        <v>-0.3589692307692307</v>
      </c>
      <c r="L599" s="5"/>
      <c r="M599" s="8" t="str">
        <f>IF(AND(J599&gt;0,L599&gt;0),(L599-J599)/J599,IF(AND(H599&gt;0,L599&gt;0),(L599-H599)/H599,""))</f>
        <v/>
      </c>
      <c r="N599" s="6">
        <v>45950</v>
      </c>
      <c r="O599" s="5">
        <v>416.67</v>
      </c>
      <c r="P599" s="8" t="str">
        <f>IF(AND(L599&gt;0,O599&gt;0),(O599-L599)/L599,"")</f>
        <v/>
      </c>
      <c r="Q599" s="9">
        <v>34</v>
      </c>
      <c r="R599" s="9">
        <v>3</v>
      </c>
      <c r="S599" s="21">
        <f>IF(N599&gt;0,TODAY()-N599,"")</f>
        <v>161</v>
      </c>
    </row>
    <row r="600" ht="17" customHeight="1" spans="1:19" x14ac:dyDescent="0.25">
      <c r="A600" s="11" t="s">
        <v>20</v>
      </c>
      <c r="B600" s="11" t="s">
        <v>911</v>
      </c>
      <c r="C600" s="11" t="s">
        <v>1219</v>
      </c>
      <c r="D600" s="11" t="s">
        <v>1220</v>
      </c>
      <c r="E600" s="12">
        <v>1</v>
      </c>
      <c r="F600" s="13">
        <v>2550</v>
      </c>
      <c r="G600" s="14">
        <v>45915</v>
      </c>
      <c r="H600" s="13">
        <v>2550</v>
      </c>
      <c r="I600" s="15" t="s">
        <v>24</v>
      </c>
      <c r="J600" s="13"/>
      <c r="K600" s="16" t="str">
        <f>IF(AND(H600&gt;0,J600&gt;0),(J600-H600)/H600,"")</f>
        <v/>
      </c>
      <c r="L600" s="13"/>
      <c r="M600" s="16" t="str">
        <f>IF(AND(J600&gt;0,L600&gt;0),(L600-J600)/J600,IF(AND(H600&gt;0,L600&gt;0),(L600-H600)/H600,""))</f>
        <v/>
      </c>
      <c r="N600" s="14">
        <v>45915</v>
      </c>
      <c r="O600" s="13">
        <v>2550</v>
      </c>
      <c r="P600" s="16" t="str">
        <f>IF(AND(L600&gt;0,O600&gt;0),(O600-L600)/L600,"")</f>
        <v/>
      </c>
      <c r="Q600" s="18"/>
      <c r="R600" s="18">
        <v>1</v>
      </c>
      <c r="S600" s="10">
        <f>IF(N600&gt;0,TODAY()-N600,"")</f>
        <v>196</v>
      </c>
    </row>
    <row r="601" ht="17" customHeight="1" spans="1:19" x14ac:dyDescent="0.25">
      <c r="A601" s="3" t="s">
        <v>20</v>
      </c>
      <c r="B601" s="3" t="s">
        <v>911</v>
      </c>
      <c r="C601" s="3" t="s">
        <v>1221</v>
      </c>
      <c r="D601" s="3" t="s">
        <v>1222</v>
      </c>
      <c r="E601" s="4">
        <v>6</v>
      </c>
      <c r="F601" s="5">
        <v>2205.028333333333</v>
      </c>
      <c r="G601" s="6">
        <v>45887</v>
      </c>
      <c r="H601" s="5">
        <v>2128.5</v>
      </c>
      <c r="I601" s="7" t="s">
        <v>60</v>
      </c>
      <c r="J601" s="5">
        <v>1725.84</v>
      </c>
      <c r="K601" s="26">
        <f>IF(AND(H601&gt;0,J601&gt;0),(J601-H601)/H601,"")</f>
        <v>-0.18917547568710366</v>
      </c>
      <c r="L601" s="5"/>
      <c r="M601" s="8" t="str">
        <f>IF(AND(J601&gt;0,L601&gt;0),(L601-J601)/J601,IF(AND(H601&gt;0,L601&gt;0),(L601-H601)/H601,""))</f>
        <v/>
      </c>
      <c r="N601" s="6">
        <v>45979</v>
      </c>
      <c r="O601" s="5">
        <v>1725.84</v>
      </c>
      <c r="P601" s="8" t="str">
        <f>IF(AND(L601&gt;0,O601&gt;0),(O601-L601)/L601,"")</f>
        <v/>
      </c>
      <c r="Q601" s="9">
        <v>31</v>
      </c>
      <c r="R601" s="9">
        <v>4</v>
      </c>
      <c r="S601" s="21">
        <f>IF(N601&gt;0,TODAY()-N601,"")</f>
        <v>132</v>
      </c>
    </row>
    <row r="602" ht="17" customHeight="1" spans="1:19" x14ac:dyDescent="0.25">
      <c r="A602" s="11" t="s">
        <v>20</v>
      </c>
      <c r="B602" s="11" t="s">
        <v>911</v>
      </c>
      <c r="C602" s="11" t="s">
        <v>1223</v>
      </c>
      <c r="D602" s="11" t="s">
        <v>1224</v>
      </c>
      <c r="E602" s="12">
        <v>2</v>
      </c>
      <c r="F602" s="13">
        <v>3900</v>
      </c>
      <c r="G602" s="14">
        <v>45915</v>
      </c>
      <c r="H602" s="13">
        <v>3900</v>
      </c>
      <c r="I602" s="15" t="s">
        <v>24</v>
      </c>
      <c r="J602" s="13"/>
      <c r="K602" s="16" t="str">
        <f>IF(AND(H602&gt;0,J602&gt;0),(J602-H602)/H602,"")</f>
        <v/>
      </c>
      <c r="L602" s="13"/>
      <c r="M602" s="16" t="str">
        <f>IF(AND(J602&gt;0,L602&gt;0),(L602-J602)/J602,IF(AND(H602&gt;0,L602&gt;0),(L602-H602)/H602,""))</f>
        <v/>
      </c>
      <c r="N602" s="14">
        <v>45915</v>
      </c>
      <c r="O602" s="13">
        <v>3900</v>
      </c>
      <c r="P602" s="16" t="str">
        <f>IF(AND(L602&gt;0,O602&gt;0),(O602-L602)/L602,"")</f>
        <v/>
      </c>
      <c r="Q602" s="18"/>
      <c r="R602" s="18">
        <v>1</v>
      </c>
      <c r="S602" s="10">
        <f>IF(N602&gt;0,TODAY()-N602,"")</f>
        <v>196</v>
      </c>
    </row>
    <row r="603" ht="17" customHeight="1" spans="1:19" x14ac:dyDescent="0.25">
      <c r="A603" s="3" t="s">
        <v>20</v>
      </c>
      <c r="B603" s="3" t="s">
        <v>911</v>
      </c>
      <c r="C603" s="3" t="s">
        <v>1225</v>
      </c>
      <c r="D603" s="3" t="s">
        <v>1226</v>
      </c>
      <c r="E603" s="4">
        <v>3</v>
      </c>
      <c r="F603" s="5">
        <v>9975.695566666667</v>
      </c>
      <c r="G603" s="6">
        <v>45714</v>
      </c>
      <c r="H603" s="5">
        <v>11710.42</v>
      </c>
      <c r="I603" s="7" t="s">
        <v>24</v>
      </c>
      <c r="J603" s="5"/>
      <c r="K603" s="8" t="str">
        <f>IF(AND(H603&gt;0,J603&gt;0),(J603-H603)/H603,"")</f>
        <v/>
      </c>
      <c r="L603" s="5"/>
      <c r="M603" s="8" t="str">
        <f>IF(AND(J603&gt;0,L603&gt;0),(L603-J603)/J603,IF(AND(H603&gt;0,L603&gt;0),(L603-H603)/H603,""))</f>
        <v/>
      </c>
      <c r="N603" s="6">
        <v>46086</v>
      </c>
      <c r="O603" s="5">
        <v>7800</v>
      </c>
      <c r="P603" s="26">
        <f>IF(AND(L603&gt;0,O603&gt;0),(O603-L603)/L603,"")</f>
        <v>-0.33392653722069743</v>
      </c>
      <c r="Q603" s="9">
        <v>186</v>
      </c>
      <c r="R603" s="9">
        <v>3</v>
      </c>
      <c r="S603" s="9">
        <f>IF(N603&gt;0,TODAY()-N603,"")</f>
        <v>25</v>
      </c>
    </row>
    <row r="604" ht="17" customHeight="1" spans="1:19" x14ac:dyDescent="0.25">
      <c r="A604" s="11" t="s">
        <v>20</v>
      </c>
      <c r="B604" s="11" t="s">
        <v>911</v>
      </c>
      <c r="C604" s="11" t="s">
        <v>1227</v>
      </c>
      <c r="D604" s="11" t="s">
        <v>1228</v>
      </c>
      <c r="E604" s="12">
        <v>29</v>
      </c>
      <c r="F604" s="13">
        <v>2324.343448275862</v>
      </c>
      <c r="G604" s="14">
        <v>45729</v>
      </c>
      <c r="H604" s="13">
        <v>2196.35</v>
      </c>
      <c r="I604" s="15" t="s">
        <v>54</v>
      </c>
      <c r="J604" s="13">
        <v>2500</v>
      </c>
      <c r="K604" s="20">
        <f>IF(AND(H604&gt;0,J604&gt;0),(J604-H604)/H604,"")</f>
        <v>0.13825210007512467</v>
      </c>
      <c r="L604" s="13"/>
      <c r="M604" s="16" t="str">
        <f>IF(AND(J604&gt;0,L604&gt;0),(L604-J604)/J604,IF(AND(H604&gt;0,L604&gt;0),(L604-H604)/H604,""))</f>
        <v/>
      </c>
      <c r="N604" s="14">
        <v>46062</v>
      </c>
      <c r="O604" s="13">
        <v>2249.17</v>
      </c>
      <c r="P604" s="25">
        <f>IF(AND(L604&gt;0,O604&gt;0),(O604-L604)/L604,"")</f>
        <v>-0.10033199999999998</v>
      </c>
      <c r="Q604" s="18">
        <v>56</v>
      </c>
      <c r="R604" s="18">
        <v>7</v>
      </c>
      <c r="S604" s="18">
        <f>IF(N604&gt;0,TODAY()-N604,"")</f>
        <v>49</v>
      </c>
    </row>
    <row r="605" ht="17" customHeight="1" spans="1:19" x14ac:dyDescent="0.25">
      <c r="A605" s="3" t="s">
        <v>20</v>
      </c>
      <c r="B605" s="3" t="s">
        <v>911</v>
      </c>
      <c r="C605" s="3" t="s">
        <v>1229</v>
      </c>
      <c r="D605" s="3" t="s">
        <v>1230</v>
      </c>
      <c r="E605" s="4">
        <v>49</v>
      </c>
      <c r="F605" s="5">
        <v>7500.780612244898</v>
      </c>
      <c r="G605" s="6">
        <v>45665</v>
      </c>
      <c r="H605" s="5">
        <v>6761.31</v>
      </c>
      <c r="I605" s="7" t="s">
        <v>54</v>
      </c>
      <c r="J605" s="5">
        <v>8118.5</v>
      </c>
      <c r="K605" s="22">
        <f>IF(AND(H605&gt;0,J605&gt;0),(J605-H605)/H605,"")</f>
        <v>0.20072885284064768</v>
      </c>
      <c r="L605" s="5"/>
      <c r="M605" s="8" t="str">
        <f>IF(AND(J605&gt;0,L605&gt;0),(L605-J605)/J605,IF(AND(H605&gt;0,L605&gt;0),(L605-H605)/H605,""))</f>
        <v/>
      </c>
      <c r="N605" s="6">
        <v>46091</v>
      </c>
      <c r="O605" s="5">
        <v>8433.61</v>
      </c>
      <c r="P605" s="24">
        <f>IF(AND(L605&gt;0,O605&gt;0),(O605-L605)/L605,"")</f>
        <v>0.0388138202869989</v>
      </c>
      <c r="Q605" s="9">
        <v>39</v>
      </c>
      <c r="R605" s="9">
        <v>12</v>
      </c>
      <c r="S605" s="9">
        <f>IF(N605&gt;0,TODAY()-N605,"")</f>
        <v>20</v>
      </c>
    </row>
    <row r="606" ht="17" customHeight="1" spans="1:19" x14ac:dyDescent="0.25">
      <c r="A606" s="11" t="s">
        <v>20</v>
      </c>
      <c r="B606" s="11" t="s">
        <v>911</v>
      </c>
      <c r="C606" s="11" t="s">
        <v>1231</v>
      </c>
      <c r="D606" s="11" t="s">
        <v>1232</v>
      </c>
      <c r="E606" s="12">
        <v>1</v>
      </c>
      <c r="F606" s="13">
        <v>4080.38</v>
      </c>
      <c r="G606" s="14">
        <v>45882</v>
      </c>
      <c r="H606" s="13">
        <v>4080.38</v>
      </c>
      <c r="I606" s="15" t="s">
        <v>24</v>
      </c>
      <c r="J606" s="13"/>
      <c r="K606" s="16" t="str">
        <f>IF(AND(H606&gt;0,J606&gt;0),(J606-H606)/H606,"")</f>
        <v/>
      </c>
      <c r="L606" s="13"/>
      <c r="M606" s="16" t="str">
        <f>IF(AND(J606&gt;0,L606&gt;0),(L606-J606)/J606,IF(AND(H606&gt;0,L606&gt;0),(L606-H606)/H606,""))</f>
        <v/>
      </c>
      <c r="N606" s="14">
        <v>45882</v>
      </c>
      <c r="O606" s="13">
        <v>4080.38</v>
      </c>
      <c r="P606" s="16" t="str">
        <f>IF(AND(L606&gt;0,O606&gt;0),(O606-L606)/L606,"")</f>
        <v/>
      </c>
      <c r="Q606" s="18"/>
      <c r="R606" s="18">
        <v>1</v>
      </c>
      <c r="S606" s="10">
        <f>IF(N606&gt;0,TODAY()-N606,"")</f>
        <v>229</v>
      </c>
    </row>
    <row r="607" ht="17" customHeight="1" spans="1:19" x14ac:dyDescent="0.25">
      <c r="A607" s="3" t="s">
        <v>20</v>
      </c>
      <c r="B607" s="3" t="s">
        <v>911</v>
      </c>
      <c r="C607" s="3" t="s">
        <v>1233</v>
      </c>
      <c r="D607" s="3" t="s">
        <v>1234</v>
      </c>
      <c r="E607" s="4">
        <v>1</v>
      </c>
      <c r="F607" s="5">
        <v>2392</v>
      </c>
      <c r="G607" s="6">
        <v>45728</v>
      </c>
      <c r="H607" s="5">
        <v>2392</v>
      </c>
      <c r="I607" s="7" t="s">
        <v>24</v>
      </c>
      <c r="J607" s="5"/>
      <c r="K607" s="8" t="str">
        <f>IF(AND(H607&gt;0,J607&gt;0),(J607-H607)/H607,"")</f>
        <v/>
      </c>
      <c r="L607" s="5"/>
      <c r="M607" s="8" t="str">
        <f>IF(AND(J607&gt;0,L607&gt;0),(L607-J607)/J607,IF(AND(H607&gt;0,L607&gt;0),(L607-H607)/H607,""))</f>
        <v/>
      </c>
      <c r="N607" s="6">
        <v>45728</v>
      </c>
      <c r="O607" s="5">
        <v>2392</v>
      </c>
      <c r="P607" s="8" t="str">
        <f>IF(AND(L607&gt;0,O607&gt;0),(O607-L607)/L607,"")</f>
        <v/>
      </c>
      <c r="Q607" s="9"/>
      <c r="R607" s="9">
        <v>1</v>
      </c>
      <c r="S607" s="10">
        <f>IF(N607&gt;0,TODAY()-N607,"")</f>
        <v>383</v>
      </c>
    </row>
    <row r="608" ht="17" customHeight="1" spans="1:19" x14ac:dyDescent="0.25">
      <c r="A608" s="11" t="s">
        <v>20</v>
      </c>
      <c r="B608" s="11" t="s">
        <v>911</v>
      </c>
      <c r="C608" s="11" t="s">
        <v>1235</v>
      </c>
      <c r="D608" s="11" t="s">
        <v>1236</v>
      </c>
      <c r="E608" s="12">
        <v>185</v>
      </c>
      <c r="F608" s="13">
        <v>77.00649513513514</v>
      </c>
      <c r="G608" s="14">
        <v>45694</v>
      </c>
      <c r="H608" s="13">
        <v>100</v>
      </c>
      <c r="I608" s="15" t="s">
        <v>24</v>
      </c>
      <c r="J608" s="13"/>
      <c r="K608" s="16" t="str">
        <f>IF(AND(H608&gt;0,J608&gt;0),(J608-H608)/H608,"")</f>
        <v/>
      </c>
      <c r="L608" s="13"/>
      <c r="M608" s="16" t="str">
        <f>IF(AND(J608&gt;0,L608&gt;0),(L608-J608)/J608,IF(AND(H608&gt;0,L608&gt;0),(L608-H608)/H608,""))</f>
        <v/>
      </c>
      <c r="N608" s="14">
        <v>45917</v>
      </c>
      <c r="O608" s="13">
        <v>53.53</v>
      </c>
      <c r="P608" s="16" t="str">
        <f>IF(AND(L608&gt;0,O608&gt;0),(O608-L608)/L608,"")</f>
        <v/>
      </c>
      <c r="Q608" s="18">
        <v>112</v>
      </c>
      <c r="R608" s="18">
        <v>3</v>
      </c>
      <c r="S608" s="10">
        <f>IF(N608&gt;0,TODAY()-N608,"")</f>
        <v>194</v>
      </c>
    </row>
    <row r="609" ht="17" customHeight="1" spans="1:19" x14ac:dyDescent="0.25">
      <c r="A609" s="3" t="s">
        <v>20</v>
      </c>
      <c r="B609" s="3" t="s">
        <v>911</v>
      </c>
      <c r="C609" s="3" t="s">
        <v>1237</v>
      </c>
      <c r="D609" s="3" t="s">
        <v>1238</v>
      </c>
      <c r="E609" s="4">
        <v>62</v>
      </c>
      <c r="F609" s="5">
        <v>7288.709677419355</v>
      </c>
      <c r="G609" s="6">
        <v>45721</v>
      </c>
      <c r="H609" s="5">
        <v>6500</v>
      </c>
      <c r="I609" s="7" t="s">
        <v>54</v>
      </c>
      <c r="J609" s="5">
        <v>7450</v>
      </c>
      <c r="K609" s="22">
        <f>IF(AND(H609&gt;0,J609&gt;0),(J609-H609)/H609,"")</f>
        <v>0.14615384615384616</v>
      </c>
      <c r="L609" s="5"/>
      <c r="M609" s="8" t="str">
        <f>IF(AND(J609&gt;0,L609&gt;0),(L609-J609)/J609,IF(AND(H609&gt;0,L609&gt;0),(L609-H609)/H609,""))</f>
        <v/>
      </c>
      <c r="N609" s="6">
        <v>46071</v>
      </c>
      <c r="O609" s="5">
        <v>7450</v>
      </c>
      <c r="P609" s="24">
        <f>IF(AND(L609&gt;0,O609&gt;0),(O609-L609)/L609,"")</f>
        <v>0</v>
      </c>
      <c r="Q609" s="9">
        <v>39</v>
      </c>
      <c r="R609" s="9">
        <v>10</v>
      </c>
      <c r="S609" s="9">
        <f>IF(N609&gt;0,TODAY()-N609,"")</f>
        <v>40</v>
      </c>
    </row>
    <row r="610" ht="17" customHeight="1" spans="1:19" x14ac:dyDescent="0.25">
      <c r="A610" s="11" t="s">
        <v>20</v>
      </c>
      <c r="B610" s="11" t="s">
        <v>911</v>
      </c>
      <c r="C610" s="11" t="s">
        <v>1239</v>
      </c>
      <c r="D610" s="11" t="s">
        <v>1240</v>
      </c>
      <c r="E610" s="12">
        <v>39</v>
      </c>
      <c r="F610" s="13">
        <v>7164.102564102564</v>
      </c>
      <c r="G610" s="14">
        <v>45691</v>
      </c>
      <c r="H610" s="13">
        <v>8000</v>
      </c>
      <c r="I610" s="15" t="s">
        <v>54</v>
      </c>
      <c r="J610" s="13">
        <v>7450</v>
      </c>
      <c r="K610" s="25">
        <f>IF(AND(H610&gt;0,J610&gt;0),(J610-H610)/H610,"")</f>
        <v>-0.06875</v>
      </c>
      <c r="L610" s="13"/>
      <c r="M610" s="16" t="str">
        <f>IF(AND(J610&gt;0,L610&gt;0),(L610-J610)/J610,IF(AND(H610&gt;0,L610&gt;0),(L610-H610)/H610,""))</f>
        <v/>
      </c>
      <c r="N610" s="14">
        <v>46071</v>
      </c>
      <c r="O610" s="13">
        <v>7450</v>
      </c>
      <c r="P610" s="17">
        <f>IF(AND(L610&gt;0,O610&gt;0),(O610-L610)/L610,"")</f>
        <v>0</v>
      </c>
      <c r="Q610" s="18">
        <v>76</v>
      </c>
      <c r="R610" s="18">
        <v>6</v>
      </c>
      <c r="S610" s="18">
        <f>IF(N610&gt;0,TODAY()-N610,"")</f>
        <v>40</v>
      </c>
    </row>
    <row r="611" ht="17" customHeight="1" spans="1:19" x14ac:dyDescent="0.25">
      <c r="A611" s="3" t="s">
        <v>20</v>
      </c>
      <c r="B611" s="3" t="s">
        <v>911</v>
      </c>
      <c r="C611" s="3" t="s">
        <v>1241</v>
      </c>
      <c r="D611" s="3" t="s">
        <v>1242</v>
      </c>
      <c r="E611" s="4">
        <v>1</v>
      </c>
      <c r="F611" s="5">
        <v>19103.0427</v>
      </c>
      <c r="G611" s="6">
        <v>45895</v>
      </c>
      <c r="H611" s="5">
        <v>19103.04</v>
      </c>
      <c r="I611" s="7" t="s">
        <v>24</v>
      </c>
      <c r="J611" s="5"/>
      <c r="K611" s="8" t="str">
        <f>IF(AND(H611&gt;0,J611&gt;0),(J611-H611)/H611,"")</f>
        <v/>
      </c>
      <c r="L611" s="5"/>
      <c r="M611" s="8" t="str">
        <f>IF(AND(J611&gt;0,L611&gt;0),(L611-J611)/J611,IF(AND(H611&gt;0,L611&gt;0),(L611-H611)/H611,""))</f>
        <v/>
      </c>
      <c r="N611" s="6">
        <v>45895</v>
      </c>
      <c r="O611" s="5">
        <v>19103.04</v>
      </c>
      <c r="P611" s="8" t="str">
        <f>IF(AND(L611&gt;0,O611&gt;0),(O611-L611)/L611,"")</f>
        <v/>
      </c>
      <c r="Q611" s="9"/>
      <c r="R611" s="9">
        <v>1</v>
      </c>
      <c r="S611" s="10">
        <f>IF(N611&gt;0,TODAY()-N611,"")</f>
        <v>216</v>
      </c>
    </row>
    <row r="612" ht="17" customHeight="1" spans="1:19" x14ac:dyDescent="0.25">
      <c r="A612" s="11" t="s">
        <v>20</v>
      </c>
      <c r="B612" s="11" t="s">
        <v>911</v>
      </c>
      <c r="C612" s="11" t="s">
        <v>1243</v>
      </c>
      <c r="D612" s="11" t="s">
        <v>1244</v>
      </c>
      <c r="E612" s="12">
        <v>12</v>
      </c>
      <c r="F612" s="13">
        <v>22325.58885</v>
      </c>
      <c r="G612" s="14">
        <v>45681</v>
      </c>
      <c r="H612" s="13">
        <v>17385.3</v>
      </c>
      <c r="I612" s="15" t="s">
        <v>24</v>
      </c>
      <c r="J612" s="13"/>
      <c r="K612" s="16" t="str">
        <f>IF(AND(H612&gt;0,J612&gt;0),(J612-H612)/H612,"")</f>
        <v/>
      </c>
      <c r="L612" s="13">
        <v>24343.2</v>
      </c>
      <c r="M612" s="23">
        <f>IF(AND(J612&gt;0,L612&gt;0),(L612-J612)/J612,IF(AND(H612&gt;0,L612&gt;0),(L612-H612)/H612,""))</f>
        <v>0.40021742506600416</v>
      </c>
      <c r="N612" s="14">
        <v>46052</v>
      </c>
      <c r="O612" s="13">
        <v>24343.2</v>
      </c>
      <c r="P612" s="16" t="str">
        <f>IF(AND(L612&gt;0,O612&gt;0),(O612-L612)/L612,"")</f>
        <v/>
      </c>
      <c r="Q612" s="18">
        <v>46</v>
      </c>
      <c r="R612" s="18">
        <v>9</v>
      </c>
      <c r="S612" s="18">
        <f>IF(N612&gt;0,TODAY()-N612,"")</f>
        <v>59</v>
      </c>
    </row>
    <row r="613" ht="17" customHeight="1" spans="1:19" x14ac:dyDescent="0.25">
      <c r="A613" s="3" t="s">
        <v>20</v>
      </c>
      <c r="B613" s="3" t="s">
        <v>911</v>
      </c>
      <c r="C613" s="3" t="s">
        <v>1245</v>
      </c>
      <c r="D613" s="3" t="s">
        <v>1246</v>
      </c>
      <c r="E613" s="4">
        <v>1</v>
      </c>
      <c r="F613" s="5">
        <v>28485.51375</v>
      </c>
      <c r="G613" s="6">
        <v>45889</v>
      </c>
      <c r="H613" s="5">
        <v>28485.51</v>
      </c>
      <c r="I613" s="7" t="s">
        <v>24</v>
      </c>
      <c r="J613" s="5"/>
      <c r="K613" s="8" t="str">
        <f>IF(AND(H613&gt;0,J613&gt;0),(J613-H613)/H613,"")</f>
        <v/>
      </c>
      <c r="L613" s="5"/>
      <c r="M613" s="8" t="str">
        <f>IF(AND(J613&gt;0,L613&gt;0),(L613-J613)/J613,IF(AND(H613&gt;0,L613&gt;0),(L613-H613)/H613,""))</f>
        <v/>
      </c>
      <c r="N613" s="6">
        <v>45889</v>
      </c>
      <c r="O613" s="5">
        <v>28485.51</v>
      </c>
      <c r="P613" s="8" t="str">
        <f>IF(AND(L613&gt;0,O613&gt;0),(O613-L613)/L613,"")</f>
        <v/>
      </c>
      <c r="Q613" s="9"/>
      <c r="R613" s="9">
        <v>1</v>
      </c>
      <c r="S613" s="10">
        <f>IF(N613&gt;0,TODAY()-N613,"")</f>
        <v>222</v>
      </c>
    </row>
    <row r="614" ht="17" customHeight="1" spans="1:19" x14ac:dyDescent="0.25">
      <c r="A614" s="11" t="s">
        <v>20</v>
      </c>
      <c r="B614" s="11" t="s">
        <v>911</v>
      </c>
      <c r="C614" s="11" t="s">
        <v>1247</v>
      </c>
      <c r="D614" s="11" t="s">
        <v>1248</v>
      </c>
      <c r="E614" s="12">
        <v>1</v>
      </c>
      <c r="F614" s="13">
        <v>21038.25</v>
      </c>
      <c r="G614" s="14">
        <v>45681</v>
      </c>
      <c r="H614" s="13">
        <v>21038.25</v>
      </c>
      <c r="I614" s="15" t="s">
        <v>24</v>
      </c>
      <c r="J614" s="13"/>
      <c r="K614" s="16" t="str">
        <f>IF(AND(H614&gt;0,J614&gt;0),(J614-H614)/H614,"")</f>
        <v/>
      </c>
      <c r="L614" s="13"/>
      <c r="M614" s="16" t="str">
        <f>IF(AND(J614&gt;0,L614&gt;0),(L614-J614)/J614,IF(AND(H614&gt;0,L614&gt;0),(L614-H614)/H614,""))</f>
        <v/>
      </c>
      <c r="N614" s="14">
        <v>45681</v>
      </c>
      <c r="O614" s="13">
        <v>21038.25</v>
      </c>
      <c r="P614" s="16" t="str">
        <f>IF(AND(L614&gt;0,O614&gt;0),(O614-L614)/L614,"")</f>
        <v/>
      </c>
      <c r="Q614" s="18"/>
      <c r="R614" s="18">
        <v>1</v>
      </c>
      <c r="S614" s="10">
        <f>IF(N614&gt;0,TODAY()-N614,"")</f>
        <v>430</v>
      </c>
    </row>
    <row r="615" ht="17" customHeight="1" spans="1:19" x14ac:dyDescent="0.25">
      <c r="A615" s="3" t="s">
        <v>20</v>
      </c>
      <c r="B615" s="3" t="s">
        <v>911</v>
      </c>
      <c r="C615" s="3" t="s">
        <v>1249</v>
      </c>
      <c r="D615" s="3" t="s">
        <v>1250</v>
      </c>
      <c r="E615" s="4">
        <v>1</v>
      </c>
      <c r="F615" s="5">
        <v>24281.6</v>
      </c>
      <c r="G615" s="6">
        <v>45727</v>
      </c>
      <c r="H615" s="5">
        <v>24281.6</v>
      </c>
      <c r="I615" s="7" t="s">
        <v>24</v>
      </c>
      <c r="J615" s="5"/>
      <c r="K615" s="8" t="str">
        <f>IF(AND(H615&gt;0,J615&gt;0),(J615-H615)/H615,"")</f>
        <v/>
      </c>
      <c r="L615" s="5"/>
      <c r="M615" s="8" t="str">
        <f>IF(AND(J615&gt;0,L615&gt;0),(L615-J615)/J615,IF(AND(H615&gt;0,L615&gt;0),(L615-H615)/H615,""))</f>
        <v/>
      </c>
      <c r="N615" s="6">
        <v>45727</v>
      </c>
      <c r="O615" s="5">
        <v>24281.6</v>
      </c>
      <c r="P615" s="8" t="str">
        <f>IF(AND(L615&gt;0,O615&gt;0),(O615-L615)/L615,"")</f>
        <v/>
      </c>
      <c r="Q615" s="9"/>
      <c r="R615" s="9">
        <v>1</v>
      </c>
      <c r="S615" s="10">
        <f>IF(N615&gt;0,TODAY()-N615,"")</f>
        <v>384</v>
      </c>
    </row>
    <row r="616" ht="17" customHeight="1" spans="1:19" x14ac:dyDescent="0.25">
      <c r="A616" s="11" t="s">
        <v>20</v>
      </c>
      <c r="B616" s="11" t="s">
        <v>911</v>
      </c>
      <c r="C616" s="11" t="s">
        <v>1251</v>
      </c>
      <c r="D616" s="11" t="s">
        <v>1252</v>
      </c>
      <c r="E616" s="12">
        <v>5</v>
      </c>
      <c r="F616" s="13">
        <v>21079.322</v>
      </c>
      <c r="G616" s="14">
        <v>45819</v>
      </c>
      <c r="H616" s="13">
        <v>25237.15</v>
      </c>
      <c r="I616" s="15" t="s">
        <v>24</v>
      </c>
      <c r="J616" s="13"/>
      <c r="K616" s="16" t="str">
        <f>IF(AND(H616&gt;0,J616&gt;0),(J616-H616)/H616,"")</f>
        <v/>
      </c>
      <c r="L616" s="13">
        <v>29074.94</v>
      </c>
      <c r="M616" s="20">
        <f>IF(AND(J616&gt;0,L616&gt;0),(L616-J616)/J616,IF(AND(H616&gt;0,L616&gt;0),(L616-H616)/H616,""))</f>
        <v>0.15206907277565007</v>
      </c>
      <c r="N616" s="14">
        <v>46050</v>
      </c>
      <c r="O616" s="13">
        <v>29074.94</v>
      </c>
      <c r="P616" s="16" t="str">
        <f>IF(AND(L616&gt;0,O616&gt;0),(O616-L616)/L616,"")</f>
        <v/>
      </c>
      <c r="Q616" s="18">
        <v>116</v>
      </c>
      <c r="R616" s="18">
        <v>3</v>
      </c>
      <c r="S616" s="19">
        <f>IF(N616&gt;0,TODAY()-N616,"")</f>
        <v>61</v>
      </c>
    </row>
    <row r="617" ht="17" customHeight="1" spans="1:19" x14ac:dyDescent="0.25">
      <c r="A617" s="3" t="s">
        <v>20</v>
      </c>
      <c r="B617" s="3" t="s">
        <v>911</v>
      </c>
      <c r="C617" s="3" t="s">
        <v>1253</v>
      </c>
      <c r="D617" s="3" t="s">
        <v>1254</v>
      </c>
      <c r="E617" s="4">
        <v>1</v>
      </c>
      <c r="F617" s="5">
        <v>76950</v>
      </c>
      <c r="G617" s="6">
        <v>45741</v>
      </c>
      <c r="H617" s="5">
        <v>76950</v>
      </c>
      <c r="I617" s="7" t="s">
        <v>24</v>
      </c>
      <c r="J617" s="5"/>
      <c r="K617" s="8" t="str">
        <f>IF(AND(H617&gt;0,J617&gt;0),(J617-H617)/H617,"")</f>
        <v/>
      </c>
      <c r="L617" s="5"/>
      <c r="M617" s="8" t="str">
        <f>IF(AND(J617&gt;0,L617&gt;0),(L617-J617)/J617,IF(AND(H617&gt;0,L617&gt;0),(L617-H617)/H617,""))</f>
        <v/>
      </c>
      <c r="N617" s="6">
        <v>45741</v>
      </c>
      <c r="O617" s="5">
        <v>76950</v>
      </c>
      <c r="P617" s="8" t="str">
        <f>IF(AND(L617&gt;0,O617&gt;0),(O617-L617)/L617,"")</f>
        <v/>
      </c>
      <c r="Q617" s="9"/>
      <c r="R617" s="9">
        <v>1</v>
      </c>
      <c r="S617" s="10">
        <f>IF(N617&gt;0,TODAY()-N617,"")</f>
        <v>370</v>
      </c>
    </row>
    <row r="618" ht="17" customHeight="1" spans="1:19" x14ac:dyDescent="0.25">
      <c r="A618" s="11" t="s">
        <v>20</v>
      </c>
      <c r="B618" s="11" t="s">
        <v>911</v>
      </c>
      <c r="C618" s="11" t="s">
        <v>1255</v>
      </c>
      <c r="D618" s="11" t="s">
        <v>1256</v>
      </c>
      <c r="E618" s="12">
        <v>23</v>
      </c>
      <c r="F618" s="13">
        <v>11933.609130434783</v>
      </c>
      <c r="G618" s="14">
        <v>46010</v>
      </c>
      <c r="H618" s="13">
        <v>11796.25</v>
      </c>
      <c r="I618" s="15" t="s">
        <v>54</v>
      </c>
      <c r="J618" s="13">
        <v>11894.04</v>
      </c>
      <c r="K618" s="17">
        <f>IF(AND(H618&gt;0,J618&gt;0),(J618-H618)/H618,"")</f>
        <v>0.008289922644908413</v>
      </c>
      <c r="L618" s="13"/>
      <c r="M618" s="16" t="str">
        <f>IF(AND(J618&gt;0,L618&gt;0),(L618-J618)/J618,IF(AND(H618&gt;0,L618&gt;0),(L618-H618)/H618,""))</f>
        <v/>
      </c>
      <c r="N618" s="14">
        <v>46106</v>
      </c>
      <c r="O618" s="13">
        <v>12098.95</v>
      </c>
      <c r="P618" s="17">
        <f>IF(AND(L618&gt;0,O618&gt;0),(O618-L618)/L618,"")</f>
        <v>0.01722795618645976</v>
      </c>
      <c r="Q618" s="18">
        <v>32</v>
      </c>
      <c r="R618" s="18">
        <v>4</v>
      </c>
      <c r="S618" s="18">
        <f>IF(N618&gt;0,TODAY()-N618,"")</f>
        <v>5</v>
      </c>
    </row>
    <row r="619" ht="17" customHeight="1" spans="1:19" x14ac:dyDescent="0.25">
      <c r="A619" s="3" t="s">
        <v>20</v>
      </c>
      <c r="B619" s="3" t="s">
        <v>911</v>
      </c>
      <c r="C619" s="3" t="s">
        <v>1257</v>
      </c>
      <c r="D619" s="3" t="s">
        <v>1258</v>
      </c>
      <c r="E619" s="4">
        <v>42</v>
      </c>
      <c r="F619" s="5">
        <v>12225.670251454287</v>
      </c>
      <c r="G619" s="6">
        <v>45708</v>
      </c>
      <c r="H619" s="5">
        <v>10735.2</v>
      </c>
      <c r="I619" s="7" t="s">
        <v>60</v>
      </c>
      <c r="J619" s="5">
        <v>13929.6</v>
      </c>
      <c r="K619" s="23">
        <f>IF(AND(H619&gt;0,J619&gt;0),(J619-H619)/H619,"")</f>
        <v>0.29756315671808625</v>
      </c>
      <c r="L619" s="5"/>
      <c r="M619" s="8" t="str">
        <f>IF(AND(J619&gt;0,L619&gt;0),(L619-J619)/J619,IF(AND(H619&gt;0,L619&gt;0),(L619-H619)/H619,""))</f>
        <v/>
      </c>
      <c r="N619" s="6">
        <v>45987</v>
      </c>
      <c r="O619" s="5">
        <v>13929.6</v>
      </c>
      <c r="P619" s="8" t="str">
        <f>IF(AND(L619&gt;0,O619&gt;0),(O619-L619)/L619,"")</f>
        <v/>
      </c>
      <c r="Q619" s="9">
        <v>47</v>
      </c>
      <c r="R619" s="9">
        <v>7</v>
      </c>
      <c r="S619" s="21">
        <f>IF(N619&gt;0,TODAY()-N619,"")</f>
        <v>124</v>
      </c>
    </row>
    <row r="620" ht="17" customHeight="1" spans="1:19" x14ac:dyDescent="0.25">
      <c r="A620" s="11" t="s">
        <v>20</v>
      </c>
      <c r="B620" s="11" t="s">
        <v>911</v>
      </c>
      <c r="C620" s="11" t="s">
        <v>1259</v>
      </c>
      <c r="D620" s="11" t="s">
        <v>1260</v>
      </c>
      <c r="E620" s="12">
        <v>1</v>
      </c>
      <c r="F620" s="13">
        <v>10735.2</v>
      </c>
      <c r="G620" s="14">
        <v>45708</v>
      </c>
      <c r="H620" s="13">
        <v>10735.2</v>
      </c>
      <c r="I620" s="15" t="s">
        <v>24</v>
      </c>
      <c r="J620" s="13"/>
      <c r="K620" s="16" t="str">
        <f>IF(AND(H620&gt;0,J620&gt;0),(J620-H620)/H620,"")</f>
        <v/>
      </c>
      <c r="L620" s="13"/>
      <c r="M620" s="16" t="str">
        <f>IF(AND(J620&gt;0,L620&gt;0),(L620-J620)/J620,IF(AND(H620&gt;0,L620&gt;0),(L620-H620)/H620,""))</f>
        <v/>
      </c>
      <c r="N620" s="14">
        <v>45708</v>
      </c>
      <c r="O620" s="13">
        <v>10735.2</v>
      </c>
      <c r="P620" s="16" t="str">
        <f>IF(AND(L620&gt;0,O620&gt;0),(O620-L620)/L620,"")</f>
        <v/>
      </c>
      <c r="Q620" s="18"/>
      <c r="R620" s="18">
        <v>1</v>
      </c>
      <c r="S620" s="10">
        <f>IF(N620&gt;0,TODAY()-N620,"")</f>
        <v>403</v>
      </c>
    </row>
    <row r="621" ht="17" customHeight="1" spans="1:19" x14ac:dyDescent="0.25">
      <c r="A621" s="3" t="s">
        <v>20</v>
      </c>
      <c r="B621" s="3" t="s">
        <v>911</v>
      </c>
      <c r="C621" s="3" t="s">
        <v>1261</v>
      </c>
      <c r="D621" s="3" t="s">
        <v>1262</v>
      </c>
      <c r="E621" s="4">
        <v>1</v>
      </c>
      <c r="F621" s="5">
        <v>9000</v>
      </c>
      <c r="G621" s="6">
        <v>45751</v>
      </c>
      <c r="H621" s="5">
        <v>9000</v>
      </c>
      <c r="I621" s="7" t="s">
        <v>24</v>
      </c>
      <c r="J621" s="5"/>
      <c r="K621" s="8" t="str">
        <f>IF(AND(H621&gt;0,J621&gt;0),(J621-H621)/H621,"")</f>
        <v/>
      </c>
      <c r="L621" s="5"/>
      <c r="M621" s="8" t="str">
        <f>IF(AND(J621&gt;0,L621&gt;0),(L621-J621)/J621,IF(AND(H621&gt;0,L621&gt;0),(L621-H621)/H621,""))</f>
        <v/>
      </c>
      <c r="N621" s="6">
        <v>45751</v>
      </c>
      <c r="O621" s="5">
        <v>9000</v>
      </c>
      <c r="P621" s="8" t="str">
        <f>IF(AND(L621&gt;0,O621&gt;0),(O621-L621)/L621,"")</f>
        <v/>
      </c>
      <c r="Q621" s="9"/>
      <c r="R621" s="9">
        <v>1</v>
      </c>
      <c r="S621" s="10">
        <f>IF(N621&gt;0,TODAY()-N621,"")</f>
        <v>360</v>
      </c>
    </row>
    <row r="622" ht="17" customHeight="1" spans="1:19" x14ac:dyDescent="0.25">
      <c r="A622" s="11" t="s">
        <v>20</v>
      </c>
      <c r="B622" s="11" t="s">
        <v>911</v>
      </c>
      <c r="C622" s="11" t="s">
        <v>1263</v>
      </c>
      <c r="D622" s="11" t="s">
        <v>1264</v>
      </c>
      <c r="E622" s="12">
        <v>55</v>
      </c>
      <c r="F622" s="13">
        <v>2845.8384400221817</v>
      </c>
      <c r="G622" s="14">
        <v>45691</v>
      </c>
      <c r="H622" s="13">
        <v>2916.67</v>
      </c>
      <c r="I622" s="15" t="s">
        <v>54</v>
      </c>
      <c r="J622" s="13">
        <v>3191.08</v>
      </c>
      <c r="K622" s="17">
        <f>IF(AND(H622&gt;0,J622&gt;0),(J622-H622)/H622,"")</f>
        <v>0.09408332104763303</v>
      </c>
      <c r="L622" s="13"/>
      <c r="M622" s="16" t="str">
        <f>IF(AND(J622&gt;0,L622&gt;0),(L622-J622)/J622,IF(AND(H622&gt;0,L622&gt;0),(L622-H622)/H622,""))</f>
        <v/>
      </c>
      <c r="N622" s="14">
        <v>46106</v>
      </c>
      <c r="O622" s="13">
        <v>3246.06</v>
      </c>
      <c r="P622" s="17">
        <f>IF(AND(L622&gt;0,O622&gt;0),(O622-L622)/L622,"")</f>
        <v>0.01722927660854633</v>
      </c>
      <c r="Q622" s="18">
        <v>35</v>
      </c>
      <c r="R622" s="18">
        <v>13</v>
      </c>
      <c r="S622" s="18">
        <f>IF(N622&gt;0,TODAY()-N622,"")</f>
        <v>5</v>
      </c>
    </row>
    <row r="623" ht="17" customHeight="1" spans="1:19" x14ac:dyDescent="0.25">
      <c r="A623" s="3" t="s">
        <v>20</v>
      </c>
      <c r="B623" s="3" t="s">
        <v>911</v>
      </c>
      <c r="C623" s="3" t="s">
        <v>1265</v>
      </c>
      <c r="D623" s="3" t="s">
        <v>1266</v>
      </c>
      <c r="E623" s="4">
        <v>3</v>
      </c>
      <c r="F623" s="5">
        <v>7851.71</v>
      </c>
      <c r="G623" s="6">
        <v>45944</v>
      </c>
      <c r="H623" s="5">
        <v>7507.35</v>
      </c>
      <c r="I623" s="7" t="s">
        <v>57</v>
      </c>
      <c r="J623" s="5">
        <v>7507.35</v>
      </c>
      <c r="K623" s="24">
        <f>IF(AND(H623&gt;0,J623&gt;0),(J623-H623)/H623,"")</f>
        <v>0</v>
      </c>
      <c r="L623" s="5"/>
      <c r="M623" s="8" t="str">
        <f>IF(AND(J623&gt;0,L623&gt;0),(L623-J623)/J623,IF(AND(H623&gt;0,L623&gt;0),(L623-H623)/H623,""))</f>
        <v/>
      </c>
      <c r="N623" s="6">
        <v>46071</v>
      </c>
      <c r="O623" s="5">
        <v>8023.89</v>
      </c>
      <c r="P623" s="24">
        <f>IF(AND(L623&gt;0,O623&gt;0),(O623-L623)/L623,"")</f>
        <v>0.06880457151991048</v>
      </c>
      <c r="Q623" s="9">
        <v>127</v>
      </c>
      <c r="R623" s="9">
        <v>2</v>
      </c>
      <c r="S623" s="9">
        <f>IF(N623&gt;0,TODAY()-N623,"")</f>
        <v>40</v>
      </c>
    </row>
    <row r="624" ht="17" customHeight="1" spans="1:19" x14ac:dyDescent="0.25">
      <c r="A624" s="11" t="s">
        <v>20</v>
      </c>
      <c r="B624" s="11" t="s">
        <v>911</v>
      </c>
      <c r="C624" s="11" t="s">
        <v>1267</v>
      </c>
      <c r="D624" s="11" t="s">
        <v>1268</v>
      </c>
      <c r="E624" s="12">
        <v>1</v>
      </c>
      <c r="F624" s="13">
        <v>1702</v>
      </c>
      <c r="G624" s="14">
        <v>45751</v>
      </c>
      <c r="H624" s="13">
        <v>1702</v>
      </c>
      <c r="I624" s="15" t="s">
        <v>24</v>
      </c>
      <c r="J624" s="13"/>
      <c r="K624" s="16" t="str">
        <f>IF(AND(H624&gt;0,J624&gt;0),(J624-H624)/H624,"")</f>
        <v/>
      </c>
      <c r="L624" s="13"/>
      <c r="M624" s="16" t="str">
        <f>IF(AND(J624&gt;0,L624&gt;0),(L624-J624)/J624,IF(AND(H624&gt;0,L624&gt;0),(L624-H624)/H624,""))</f>
        <v/>
      </c>
      <c r="N624" s="14">
        <v>45751</v>
      </c>
      <c r="O624" s="13">
        <v>1702</v>
      </c>
      <c r="P624" s="16" t="str">
        <f>IF(AND(L624&gt;0,O624&gt;0),(O624-L624)/L624,"")</f>
        <v/>
      </c>
      <c r="Q624" s="18"/>
      <c r="R624" s="18">
        <v>1</v>
      </c>
      <c r="S624" s="10">
        <f>IF(N624&gt;0,TODAY()-N624,"")</f>
        <v>360</v>
      </c>
    </row>
    <row r="625" ht="17" customHeight="1" spans="1:19" x14ac:dyDescent="0.25">
      <c r="A625" s="3" t="s">
        <v>20</v>
      </c>
      <c r="B625" s="3" t="s">
        <v>911</v>
      </c>
      <c r="C625" s="3" t="s">
        <v>1269</v>
      </c>
      <c r="D625" s="3" t="s">
        <v>1270</v>
      </c>
      <c r="E625" s="4">
        <v>119</v>
      </c>
      <c r="F625" s="5">
        <v>4637.328322689076</v>
      </c>
      <c r="G625" s="6">
        <v>45694</v>
      </c>
      <c r="H625" s="5">
        <v>6500</v>
      </c>
      <c r="I625" s="7" t="s">
        <v>24</v>
      </c>
      <c r="J625" s="5"/>
      <c r="K625" s="8" t="str">
        <f>IF(AND(H625&gt;0,J625&gt;0),(J625-H625)/H625,"")</f>
        <v/>
      </c>
      <c r="L625" s="5"/>
      <c r="M625" s="8" t="str">
        <f>IF(AND(J625&gt;0,L625&gt;0),(L625-J625)/J625,IF(AND(H625&gt;0,L625&gt;0),(L625-H625)/H625,""))</f>
        <v/>
      </c>
      <c r="N625" s="6">
        <v>46059</v>
      </c>
      <c r="O625" s="5">
        <v>6500</v>
      </c>
      <c r="P625" s="24">
        <f>IF(AND(L625&gt;0,O625&gt;0),(O625-L625)/L625,"")</f>
        <v>0</v>
      </c>
      <c r="Q625" s="9">
        <v>61</v>
      </c>
      <c r="R625" s="9">
        <v>7</v>
      </c>
      <c r="S625" s="9">
        <f>IF(N625&gt;0,TODAY()-N625,"")</f>
        <v>52</v>
      </c>
    </row>
    <row r="626" ht="17" customHeight="1" spans="1:19" x14ac:dyDescent="0.25">
      <c r="A626" s="11" t="s">
        <v>20</v>
      </c>
      <c r="B626" s="11" t="s">
        <v>911</v>
      </c>
      <c r="C626" s="11" t="s">
        <v>1271</v>
      </c>
      <c r="D626" s="11" t="s">
        <v>1272</v>
      </c>
      <c r="E626" s="12">
        <v>2</v>
      </c>
      <c r="F626" s="13">
        <v>416.78499999999997</v>
      </c>
      <c r="G626" s="14">
        <v>45730</v>
      </c>
      <c r="H626" s="13">
        <v>430.05</v>
      </c>
      <c r="I626" s="15" t="s">
        <v>24</v>
      </c>
      <c r="J626" s="13"/>
      <c r="K626" s="16" t="str">
        <f>IF(AND(H626&gt;0,J626&gt;0),(J626-H626)/H626,"")</f>
        <v/>
      </c>
      <c r="L626" s="13"/>
      <c r="M626" s="16" t="str">
        <f>IF(AND(J626&gt;0,L626&gt;0),(L626-J626)/J626,IF(AND(H626&gt;0,L626&gt;0),(L626-H626)/H626,""))</f>
        <v/>
      </c>
      <c r="N626" s="14">
        <v>45888</v>
      </c>
      <c r="O626" s="13">
        <v>403.52</v>
      </c>
      <c r="P626" s="16" t="str">
        <f>IF(AND(L626&gt;0,O626&gt;0),(O626-L626)/L626,"")</f>
        <v/>
      </c>
      <c r="Q626" s="18">
        <v>158</v>
      </c>
      <c r="R626" s="18">
        <v>2</v>
      </c>
      <c r="S626" s="10">
        <f>IF(N626&gt;0,TODAY()-N626,"")</f>
        <v>223</v>
      </c>
    </row>
    <row r="627" ht="17" customHeight="1" spans="1:19" x14ac:dyDescent="0.25">
      <c r="A627" s="3" t="s">
        <v>20</v>
      </c>
      <c r="B627" s="3" t="s">
        <v>911</v>
      </c>
      <c r="C627" s="3" t="s">
        <v>1273</v>
      </c>
      <c r="D627" s="3" t="s">
        <v>1274</v>
      </c>
      <c r="E627" s="4">
        <v>14</v>
      </c>
      <c r="F627" s="5">
        <v>15267.488571428572</v>
      </c>
      <c r="G627" s="6">
        <v>45693</v>
      </c>
      <c r="H627" s="5">
        <v>14504.17</v>
      </c>
      <c r="I627" s="7" t="s">
        <v>54</v>
      </c>
      <c r="J627" s="5">
        <v>14223.44</v>
      </c>
      <c r="K627" s="26">
        <f>IF(AND(H627&gt;0,J627&gt;0),(J627-H627)/H627,"")</f>
        <v>-0.019355123388653025</v>
      </c>
      <c r="L627" s="5">
        <v>14440.69</v>
      </c>
      <c r="M627" s="24">
        <f>IF(AND(J627&gt;0,L627&gt;0),(L627-J627)/J627,IF(AND(H627&gt;0,L627&gt;0),(L627-H627)/H627,""))</f>
        <v>0.01527408278166182</v>
      </c>
      <c r="N627" s="6">
        <v>46050</v>
      </c>
      <c r="O627" s="5">
        <v>14440.69</v>
      </c>
      <c r="P627" s="8" t="str">
        <f>IF(AND(L627&gt;0,O627&gt;0),(O627-L627)/L627,"")</f>
        <v/>
      </c>
      <c r="Q627" s="9">
        <v>60</v>
      </c>
      <c r="R627" s="9">
        <v>7</v>
      </c>
      <c r="S627" s="19">
        <f>IF(N627&gt;0,TODAY()-N627,"")</f>
        <v>61</v>
      </c>
    </row>
    <row r="628" ht="17" customHeight="1" spans="1:19" x14ac:dyDescent="0.25">
      <c r="A628" s="11" t="s">
        <v>20</v>
      </c>
      <c r="B628" s="11" t="s">
        <v>911</v>
      </c>
      <c r="C628" s="11" t="s">
        <v>1275</v>
      </c>
      <c r="D628" s="11" t="s">
        <v>1276</v>
      </c>
      <c r="E628" s="12">
        <v>20</v>
      </c>
      <c r="F628" s="13">
        <v>279.8035</v>
      </c>
      <c r="G628" s="14">
        <v>45917</v>
      </c>
      <c r="H628" s="13">
        <v>279.8</v>
      </c>
      <c r="I628" s="15" t="s">
        <v>24</v>
      </c>
      <c r="J628" s="13"/>
      <c r="K628" s="16" t="str">
        <f>IF(AND(H628&gt;0,J628&gt;0),(J628-H628)/H628,"")</f>
        <v/>
      </c>
      <c r="L628" s="13"/>
      <c r="M628" s="16" t="str">
        <f>IF(AND(J628&gt;0,L628&gt;0),(L628-J628)/J628,IF(AND(H628&gt;0,L628&gt;0),(L628-H628)/H628,""))</f>
        <v/>
      </c>
      <c r="N628" s="14">
        <v>45917</v>
      </c>
      <c r="O628" s="13">
        <v>279.8</v>
      </c>
      <c r="P628" s="16" t="str">
        <f>IF(AND(L628&gt;0,O628&gt;0),(O628-L628)/L628,"")</f>
        <v/>
      </c>
      <c r="Q628" s="18"/>
      <c r="R628" s="18">
        <v>1</v>
      </c>
      <c r="S628" s="10">
        <f>IF(N628&gt;0,TODAY()-N628,"")</f>
        <v>194</v>
      </c>
    </row>
    <row r="629" ht="17" customHeight="1" spans="1:19" x14ac:dyDescent="0.25">
      <c r="A629" s="3" t="s">
        <v>20</v>
      </c>
      <c r="B629" s="3" t="s">
        <v>911</v>
      </c>
      <c r="C629" s="3" t="s">
        <v>1277</v>
      </c>
      <c r="D629" s="3" t="s">
        <v>1278</v>
      </c>
      <c r="E629" s="4">
        <v>2</v>
      </c>
      <c r="F629" s="5">
        <v>7350.8</v>
      </c>
      <c r="G629" s="6">
        <v>45736</v>
      </c>
      <c r="H629" s="5">
        <v>7350.8</v>
      </c>
      <c r="I629" s="7" t="s">
        <v>24</v>
      </c>
      <c r="J629" s="5"/>
      <c r="K629" s="8" t="str">
        <f>IF(AND(H629&gt;0,J629&gt;0),(J629-H629)/H629,"")</f>
        <v/>
      </c>
      <c r="L629" s="5"/>
      <c r="M629" s="8" t="str">
        <f>IF(AND(J629&gt;0,L629&gt;0),(L629-J629)/J629,IF(AND(H629&gt;0,L629&gt;0),(L629-H629)/H629,""))</f>
        <v/>
      </c>
      <c r="N629" s="6">
        <v>45736</v>
      </c>
      <c r="O629" s="5">
        <v>7350.8</v>
      </c>
      <c r="P629" s="8" t="str">
        <f>IF(AND(L629&gt;0,O629&gt;0),(O629-L629)/L629,"")</f>
        <v/>
      </c>
      <c r="Q629" s="9"/>
      <c r="R629" s="9">
        <v>1</v>
      </c>
      <c r="S629" s="10">
        <f>IF(N629&gt;0,TODAY()-N629,"")</f>
        <v>375</v>
      </c>
    </row>
    <row r="630" ht="17" customHeight="1" spans="1:19" x14ac:dyDescent="0.25">
      <c r="A630" s="11" t="s">
        <v>20</v>
      </c>
      <c r="B630" s="11" t="s">
        <v>911</v>
      </c>
      <c r="C630" s="11" t="s">
        <v>1279</v>
      </c>
      <c r="D630" s="11" t="s">
        <v>1280</v>
      </c>
      <c r="E630" s="12">
        <v>1</v>
      </c>
      <c r="F630" s="13">
        <v>513.33</v>
      </c>
      <c r="G630" s="14">
        <v>45779</v>
      </c>
      <c r="H630" s="13">
        <v>513.33</v>
      </c>
      <c r="I630" s="15" t="s">
        <v>24</v>
      </c>
      <c r="J630" s="13"/>
      <c r="K630" s="16" t="str">
        <f>IF(AND(H630&gt;0,J630&gt;0),(J630-H630)/H630,"")</f>
        <v/>
      </c>
      <c r="L630" s="13"/>
      <c r="M630" s="16" t="str">
        <f>IF(AND(J630&gt;0,L630&gt;0),(L630-J630)/J630,IF(AND(H630&gt;0,L630&gt;0),(L630-H630)/H630,""))</f>
        <v/>
      </c>
      <c r="N630" s="14">
        <v>45779</v>
      </c>
      <c r="O630" s="13">
        <v>513.33</v>
      </c>
      <c r="P630" s="16" t="str">
        <f>IF(AND(L630&gt;0,O630&gt;0),(O630-L630)/L630,"")</f>
        <v/>
      </c>
      <c r="Q630" s="18"/>
      <c r="R630" s="18">
        <v>1</v>
      </c>
      <c r="S630" s="10">
        <f>IF(N630&gt;0,TODAY()-N630,"")</f>
        <v>332</v>
      </c>
    </row>
    <row r="631" ht="17" customHeight="1" spans="1:19" x14ac:dyDescent="0.25">
      <c r="A631" s="3" t="s">
        <v>20</v>
      </c>
      <c r="B631" s="3" t="s">
        <v>911</v>
      </c>
      <c r="C631" s="3" t="s">
        <v>1281</v>
      </c>
      <c r="D631" s="3" t="s">
        <v>1282</v>
      </c>
      <c r="E631" s="4">
        <v>3</v>
      </c>
      <c r="F631" s="5">
        <v>1069.4433333333334</v>
      </c>
      <c r="G631" s="6">
        <v>45728</v>
      </c>
      <c r="H631" s="5">
        <v>1000</v>
      </c>
      <c r="I631" s="7" t="s">
        <v>24</v>
      </c>
      <c r="J631" s="5"/>
      <c r="K631" s="8" t="str">
        <f>IF(AND(H631&gt;0,J631&gt;0),(J631-H631)/H631,"")</f>
        <v/>
      </c>
      <c r="L631" s="5"/>
      <c r="M631" s="8" t="str">
        <f>IF(AND(J631&gt;0,L631&gt;0),(L631-J631)/J631,IF(AND(H631&gt;0,L631&gt;0),(L631-H631)/H631,""))</f>
        <v/>
      </c>
      <c r="N631" s="6">
        <v>46107</v>
      </c>
      <c r="O631" s="5">
        <v>1208.33</v>
      </c>
      <c r="P631" s="22">
        <f>IF(AND(L631&gt;0,O631&gt;0),(O631-L631)/L631,"")</f>
        <v>0.20832999999999996</v>
      </c>
      <c r="Q631" s="9">
        <v>379</v>
      </c>
      <c r="R631" s="9">
        <v>2</v>
      </c>
      <c r="S631" s="9">
        <f>IF(N631&gt;0,TODAY()-N631,"")</f>
        <v>4</v>
      </c>
    </row>
    <row r="632" ht="17" customHeight="1" spans="1:19" x14ac:dyDescent="0.25">
      <c r="A632" s="11" t="s">
        <v>20</v>
      </c>
      <c r="B632" s="11" t="s">
        <v>1283</v>
      </c>
      <c r="C632" s="11" t="s">
        <v>1284</v>
      </c>
      <c r="D632" s="11" t="s">
        <v>1285</v>
      </c>
      <c r="E632" s="12">
        <v>4</v>
      </c>
      <c r="F632" s="13">
        <v>1532.5874999999999</v>
      </c>
      <c r="G632" s="14">
        <v>45716</v>
      </c>
      <c r="H632" s="13">
        <v>966.67</v>
      </c>
      <c r="I632" s="15" t="s">
        <v>24</v>
      </c>
      <c r="J632" s="13"/>
      <c r="K632" s="16" t="str">
        <f>IF(AND(H632&gt;0,J632&gt;0),(J632-H632)/H632,"")</f>
        <v/>
      </c>
      <c r="L632" s="13"/>
      <c r="M632" s="16" t="str">
        <f>IF(AND(J632&gt;0,L632&gt;0),(L632-J632)/J632,IF(AND(H632&gt;0,L632&gt;0),(L632-H632)/H632,""))</f>
        <v/>
      </c>
      <c r="N632" s="14">
        <v>46086</v>
      </c>
      <c r="O632" s="13">
        <v>2012.58</v>
      </c>
      <c r="P632" s="23">
        <f>IF(AND(L632&gt;0,O632&gt;0),(O632-L632)/L632,"")</f>
        <v>1.081972131130582</v>
      </c>
      <c r="Q632" s="18">
        <v>185</v>
      </c>
      <c r="R632" s="18">
        <v>3</v>
      </c>
      <c r="S632" s="18">
        <f>IF(N632&gt;0,TODAY()-N632,"")</f>
        <v>25</v>
      </c>
    </row>
    <row r="633" ht="17" customHeight="1" spans="1:19" x14ac:dyDescent="0.25">
      <c r="A633" s="3" t="s">
        <v>20</v>
      </c>
      <c r="B633" s="3" t="s">
        <v>1283</v>
      </c>
      <c r="C633" s="3" t="s">
        <v>1286</v>
      </c>
      <c r="D633" s="3" t="s">
        <v>1287</v>
      </c>
      <c r="E633" s="4">
        <v>1</v>
      </c>
      <c r="F633" s="5">
        <v>2730.5</v>
      </c>
      <c r="G633" s="6">
        <v>45911</v>
      </c>
      <c r="H633" s="5">
        <v>2730.5</v>
      </c>
      <c r="I633" s="7" t="s">
        <v>24</v>
      </c>
      <c r="J633" s="5"/>
      <c r="K633" s="8" t="str">
        <f>IF(AND(H633&gt;0,J633&gt;0),(J633-H633)/H633,"")</f>
        <v/>
      </c>
      <c r="L633" s="5"/>
      <c r="M633" s="8" t="str">
        <f>IF(AND(J633&gt;0,L633&gt;0),(L633-J633)/J633,IF(AND(H633&gt;0,L633&gt;0),(L633-H633)/H633,""))</f>
        <v/>
      </c>
      <c r="N633" s="6">
        <v>45911</v>
      </c>
      <c r="O633" s="5">
        <v>2730.5</v>
      </c>
      <c r="P633" s="8" t="str">
        <f>IF(AND(L633&gt;0,O633&gt;0),(O633-L633)/L633,"")</f>
        <v/>
      </c>
      <c r="Q633" s="9"/>
      <c r="R633" s="9">
        <v>1</v>
      </c>
      <c r="S633" s="10">
        <f>IF(N633&gt;0,TODAY()-N633,"")</f>
        <v>200</v>
      </c>
    </row>
    <row r="634" ht="17" customHeight="1" spans="1:19" x14ac:dyDescent="0.25">
      <c r="A634" s="11" t="s">
        <v>20</v>
      </c>
      <c r="B634" s="11" t="s">
        <v>1283</v>
      </c>
      <c r="C634" s="11" t="s">
        <v>1288</v>
      </c>
      <c r="D634" s="11" t="s">
        <v>1289</v>
      </c>
      <c r="E634" s="12">
        <v>1</v>
      </c>
      <c r="F634" s="13">
        <v>1416.67</v>
      </c>
      <c r="G634" s="14">
        <v>45714</v>
      </c>
      <c r="H634" s="13">
        <v>1416.67</v>
      </c>
      <c r="I634" s="15" t="s">
        <v>24</v>
      </c>
      <c r="J634" s="13"/>
      <c r="K634" s="16" t="str">
        <f>IF(AND(H634&gt;0,J634&gt;0),(J634-H634)/H634,"")</f>
        <v/>
      </c>
      <c r="L634" s="13"/>
      <c r="M634" s="16" t="str">
        <f>IF(AND(J634&gt;0,L634&gt;0),(L634-J634)/J634,IF(AND(H634&gt;0,L634&gt;0),(L634-H634)/H634,""))</f>
        <v/>
      </c>
      <c r="N634" s="14">
        <v>45714</v>
      </c>
      <c r="O634" s="13">
        <v>1416.67</v>
      </c>
      <c r="P634" s="16" t="str">
        <f>IF(AND(L634&gt;0,O634&gt;0),(O634-L634)/L634,"")</f>
        <v/>
      </c>
      <c r="Q634" s="18"/>
      <c r="R634" s="18">
        <v>1</v>
      </c>
      <c r="S634" s="10">
        <f>IF(N634&gt;0,TODAY()-N634,"")</f>
        <v>397</v>
      </c>
    </row>
    <row r="635" ht="17" customHeight="1" spans="1:19" x14ac:dyDescent="0.25">
      <c r="A635" s="3" t="s">
        <v>20</v>
      </c>
      <c r="B635" s="3" t="s">
        <v>1283</v>
      </c>
      <c r="C635" s="3" t="s">
        <v>1290</v>
      </c>
      <c r="D635" s="3" t="s">
        <v>1291</v>
      </c>
      <c r="E635" s="4">
        <v>9</v>
      </c>
      <c r="F635" s="5">
        <v>1915.041111111111</v>
      </c>
      <c r="G635" s="6">
        <v>45714</v>
      </c>
      <c r="H635" s="5">
        <v>1407.5</v>
      </c>
      <c r="I635" s="7" t="s">
        <v>24</v>
      </c>
      <c r="J635" s="5"/>
      <c r="K635" s="8" t="str">
        <f>IF(AND(H635&gt;0,J635&gt;0),(J635-H635)/H635,"")</f>
        <v/>
      </c>
      <c r="L635" s="5">
        <v>2144.94</v>
      </c>
      <c r="M635" s="23">
        <f>IF(AND(J635&gt;0,L635&gt;0),(L635-J635)/J635,IF(AND(H635&gt;0,L635&gt;0),(L635-H635)/H635,""))</f>
        <v>0.523936056838366</v>
      </c>
      <c r="N635" s="6">
        <v>46029</v>
      </c>
      <c r="O635" s="5">
        <v>2144.94</v>
      </c>
      <c r="P635" s="8" t="str">
        <f>IF(AND(L635&gt;0,O635&gt;0),(O635-L635)/L635,"")</f>
        <v/>
      </c>
      <c r="Q635" s="9">
        <v>63</v>
      </c>
      <c r="R635" s="9">
        <v>6</v>
      </c>
      <c r="S635" s="19">
        <f>IF(N635&gt;0,TODAY()-N635,"")</f>
        <v>82</v>
      </c>
    </row>
    <row r="636" ht="17" customHeight="1" spans="1:19" x14ac:dyDescent="0.25">
      <c r="A636" s="11" t="s">
        <v>20</v>
      </c>
      <c r="B636" s="11" t="s">
        <v>1283</v>
      </c>
      <c r="C636" s="11" t="s">
        <v>1292</v>
      </c>
      <c r="D636" s="11" t="s">
        <v>1293</v>
      </c>
      <c r="E636" s="12">
        <v>34.2</v>
      </c>
      <c r="F636" s="13">
        <v>1218.3233918128656</v>
      </c>
      <c r="G636" s="14">
        <v>45692</v>
      </c>
      <c r="H636" s="13">
        <v>1218.32</v>
      </c>
      <c r="I636" s="15" t="s">
        <v>24</v>
      </c>
      <c r="J636" s="13"/>
      <c r="K636" s="16" t="str">
        <f>IF(AND(H636&gt;0,J636&gt;0),(J636-H636)/H636,"")</f>
        <v/>
      </c>
      <c r="L636" s="13"/>
      <c r="M636" s="16" t="str">
        <f>IF(AND(J636&gt;0,L636&gt;0),(L636-J636)/J636,IF(AND(H636&gt;0,L636&gt;0),(L636-H636)/H636,""))</f>
        <v/>
      </c>
      <c r="N636" s="14">
        <v>45692</v>
      </c>
      <c r="O636" s="13">
        <v>1218.32</v>
      </c>
      <c r="P636" s="16" t="str">
        <f>IF(AND(L636&gt;0,O636&gt;0),(O636-L636)/L636,"")</f>
        <v/>
      </c>
      <c r="Q636" s="18"/>
      <c r="R636" s="18">
        <v>1</v>
      </c>
      <c r="S636" s="10">
        <f>IF(N636&gt;0,TODAY()-N636,"")</f>
        <v>419</v>
      </c>
    </row>
    <row r="637" ht="17" customHeight="1" spans="1:19" x14ac:dyDescent="0.25">
      <c r="A637" s="3" t="s">
        <v>20</v>
      </c>
      <c r="B637" s="3" t="s">
        <v>1283</v>
      </c>
      <c r="C637" s="3" t="s">
        <v>1294</v>
      </c>
      <c r="D637" s="3" t="s">
        <v>1295</v>
      </c>
      <c r="E637" s="4">
        <v>100</v>
      </c>
      <c r="F637" s="5">
        <v>288.5385</v>
      </c>
      <c r="G637" s="6">
        <v>45666</v>
      </c>
      <c r="H637" s="5">
        <v>236</v>
      </c>
      <c r="I637" s="7" t="s">
        <v>57</v>
      </c>
      <c r="J637" s="5">
        <v>307.29</v>
      </c>
      <c r="K637" s="23">
        <f>IF(AND(H637&gt;0,J637&gt;0),(J637-H637)/H637,"")</f>
        <v>0.30207627118644076</v>
      </c>
      <c r="L637" s="5"/>
      <c r="M637" s="8" t="str">
        <f>IF(AND(J637&gt;0,L637&gt;0),(L637-J637)/J637,IF(AND(H637&gt;0,L637&gt;0),(L637-H637)/H637,""))</f>
        <v/>
      </c>
      <c r="N637" s="6">
        <v>46085</v>
      </c>
      <c r="O637" s="5">
        <v>332.06</v>
      </c>
      <c r="P637" s="24">
        <f>IF(AND(L637&gt;0,O637&gt;0),(O637-L637)/L637,"")</f>
        <v>0.08060789482248033</v>
      </c>
      <c r="Q637" s="9">
        <v>70</v>
      </c>
      <c r="R637" s="9">
        <v>7</v>
      </c>
      <c r="S637" s="9">
        <f>IF(N637&gt;0,TODAY()-N637,"")</f>
        <v>26</v>
      </c>
    </row>
    <row r="638" ht="17" customHeight="1" spans="1:19" x14ac:dyDescent="0.25">
      <c r="A638" s="11" t="s">
        <v>20</v>
      </c>
      <c r="B638" s="11" t="s">
        <v>1283</v>
      </c>
      <c r="C638" s="11" t="s">
        <v>1296</v>
      </c>
      <c r="D638" s="11" t="s">
        <v>1297</v>
      </c>
      <c r="E638" s="12">
        <v>25</v>
      </c>
      <c r="F638" s="13">
        <v>320.4</v>
      </c>
      <c r="G638" s="14">
        <v>45686</v>
      </c>
      <c r="H638" s="13">
        <v>320.4</v>
      </c>
      <c r="I638" s="15" t="s">
        <v>24</v>
      </c>
      <c r="J638" s="13"/>
      <c r="K638" s="16" t="str">
        <f>IF(AND(H638&gt;0,J638&gt;0),(J638-H638)/H638,"")</f>
        <v/>
      </c>
      <c r="L638" s="13"/>
      <c r="M638" s="16" t="str">
        <f>IF(AND(J638&gt;0,L638&gt;0),(L638-J638)/J638,IF(AND(H638&gt;0,L638&gt;0),(L638-H638)/H638,""))</f>
        <v/>
      </c>
      <c r="N638" s="14">
        <v>45686</v>
      </c>
      <c r="O638" s="13">
        <v>320.4</v>
      </c>
      <c r="P638" s="16" t="str">
        <f>IF(AND(L638&gt;0,O638&gt;0),(O638-L638)/L638,"")</f>
        <v/>
      </c>
      <c r="Q638" s="18"/>
      <c r="R638" s="18">
        <v>1</v>
      </c>
      <c r="S638" s="10">
        <f>IF(N638&gt;0,TODAY()-N638,"")</f>
        <v>425</v>
      </c>
    </row>
    <row r="639" ht="17" customHeight="1" spans="1:19" x14ac:dyDescent="0.25">
      <c r="A639" s="3" t="s">
        <v>20</v>
      </c>
      <c r="B639" s="3" t="s">
        <v>1283</v>
      </c>
      <c r="C639" s="3" t="s">
        <v>1298</v>
      </c>
      <c r="D639" s="3" t="s">
        <v>1299</v>
      </c>
      <c r="E639" s="4">
        <v>26</v>
      </c>
      <c r="F639" s="5">
        <v>263.84615384615387</v>
      </c>
      <c r="G639" s="6">
        <v>45700</v>
      </c>
      <c r="H639" s="5">
        <v>250</v>
      </c>
      <c r="I639" s="7" t="s">
        <v>24</v>
      </c>
      <c r="J639" s="5"/>
      <c r="K639" s="8" t="str">
        <f>IF(AND(H639&gt;0,J639&gt;0),(J639-H639)/H639,"")</f>
        <v/>
      </c>
      <c r="L639" s="5"/>
      <c r="M639" s="8" t="str">
        <f>IF(AND(J639&gt;0,L639&gt;0),(L639-J639)/J639,IF(AND(H639&gt;0,L639&gt;0),(L639-H639)/H639,""))</f>
        <v/>
      </c>
      <c r="N639" s="6">
        <v>46094</v>
      </c>
      <c r="O639" s="5">
        <v>270</v>
      </c>
      <c r="P639" s="24">
        <f>IF(AND(L639&gt;0,O639&gt;0),(O639-L639)/L639,"")</f>
        <v>0.08</v>
      </c>
      <c r="Q639" s="9">
        <v>79</v>
      </c>
      <c r="R639" s="9">
        <v>6</v>
      </c>
      <c r="S639" s="9">
        <f>IF(N639&gt;0,TODAY()-N639,"")</f>
        <v>17</v>
      </c>
    </row>
    <row r="640" ht="17" customHeight="1" spans="1:19" x14ac:dyDescent="0.25">
      <c r="A640" s="11" t="s">
        <v>20</v>
      </c>
      <c r="B640" s="11" t="s">
        <v>1283</v>
      </c>
      <c r="C640" s="11" t="s">
        <v>1300</v>
      </c>
      <c r="D640" s="11" t="s">
        <v>1301</v>
      </c>
      <c r="E640" s="12">
        <v>5</v>
      </c>
      <c r="F640" s="13">
        <v>40.833999999999996</v>
      </c>
      <c r="G640" s="14">
        <v>46071</v>
      </c>
      <c r="H640" s="13">
        <v>40.83</v>
      </c>
      <c r="I640" s="15" t="s">
        <v>24</v>
      </c>
      <c r="J640" s="13"/>
      <c r="K640" s="16" t="str">
        <f>IF(AND(H640&gt;0,J640&gt;0),(J640-H640)/H640,"")</f>
        <v/>
      </c>
      <c r="L640" s="13"/>
      <c r="M640" s="16" t="str">
        <f>IF(AND(J640&gt;0,L640&gt;0),(L640-J640)/J640,IF(AND(H640&gt;0,L640&gt;0),(L640-H640)/H640,""))</f>
        <v/>
      </c>
      <c r="N640" s="14">
        <v>46071</v>
      </c>
      <c r="O640" s="13">
        <v>40.83</v>
      </c>
      <c r="P640" s="17">
        <f>IF(AND(L640&gt;0,O640&gt;0),(O640-L640)/L640,"")</f>
        <v>0</v>
      </c>
      <c r="Q640" s="18"/>
      <c r="R640" s="18">
        <v>1</v>
      </c>
      <c r="S640" s="18">
        <f>IF(N640&gt;0,TODAY()-N640,"")</f>
        <v>40</v>
      </c>
    </row>
    <row r="641" ht="17" customHeight="1" spans="1:19" x14ac:dyDescent="0.25">
      <c r="A641" s="3" t="s">
        <v>20</v>
      </c>
      <c r="B641" s="3" t="s">
        <v>1283</v>
      </c>
      <c r="C641" s="3" t="s">
        <v>1302</v>
      </c>
      <c r="D641" s="3" t="s">
        <v>1303</v>
      </c>
      <c r="E641" s="4">
        <v>16</v>
      </c>
      <c r="F641" s="5">
        <v>245.22</v>
      </c>
      <c r="G641" s="6">
        <v>45700</v>
      </c>
      <c r="H641" s="5">
        <v>245.22</v>
      </c>
      <c r="I641" s="7" t="s">
        <v>24</v>
      </c>
      <c r="J641" s="5"/>
      <c r="K641" s="8" t="str">
        <f>IF(AND(H641&gt;0,J641&gt;0),(J641-H641)/H641,"")</f>
        <v/>
      </c>
      <c r="L641" s="5"/>
      <c r="M641" s="8" t="str">
        <f>IF(AND(J641&gt;0,L641&gt;0),(L641-J641)/J641,IF(AND(H641&gt;0,L641&gt;0),(L641-H641)/H641,""))</f>
        <v/>
      </c>
      <c r="N641" s="6">
        <v>45700</v>
      </c>
      <c r="O641" s="5">
        <v>245.22</v>
      </c>
      <c r="P641" s="8" t="str">
        <f>IF(AND(L641&gt;0,O641&gt;0),(O641-L641)/L641,"")</f>
        <v/>
      </c>
      <c r="Q641" s="9"/>
      <c r="R641" s="9">
        <v>1</v>
      </c>
      <c r="S641" s="10">
        <f>IF(N641&gt;0,TODAY()-N641,"")</f>
        <v>411</v>
      </c>
    </row>
    <row r="642" ht="17" customHeight="1" spans="1:19" x14ac:dyDescent="0.25">
      <c r="A642" s="11" t="s">
        <v>20</v>
      </c>
      <c r="B642" s="11" t="s">
        <v>1283</v>
      </c>
      <c r="C642" s="11" t="s">
        <v>1304</v>
      </c>
      <c r="D642" s="11" t="s">
        <v>1305</v>
      </c>
      <c r="E642" s="12">
        <v>5</v>
      </c>
      <c r="F642" s="13">
        <v>145</v>
      </c>
      <c r="G642" s="14">
        <v>45685</v>
      </c>
      <c r="H642" s="13">
        <v>145</v>
      </c>
      <c r="I642" s="15" t="s">
        <v>24</v>
      </c>
      <c r="J642" s="13"/>
      <c r="K642" s="16" t="str">
        <f>IF(AND(H642&gt;0,J642&gt;0),(J642-H642)/H642,"")</f>
        <v/>
      </c>
      <c r="L642" s="13"/>
      <c r="M642" s="16" t="str">
        <f>IF(AND(J642&gt;0,L642&gt;0),(L642-J642)/J642,IF(AND(H642&gt;0,L642&gt;0),(L642-H642)/H642,""))</f>
        <v/>
      </c>
      <c r="N642" s="14">
        <v>45685</v>
      </c>
      <c r="O642" s="13">
        <v>145</v>
      </c>
      <c r="P642" s="16" t="str">
        <f>IF(AND(L642&gt;0,O642&gt;0),(O642-L642)/L642,"")</f>
        <v/>
      </c>
      <c r="Q642" s="18"/>
      <c r="R642" s="18">
        <v>1</v>
      </c>
      <c r="S642" s="10">
        <f>IF(N642&gt;0,TODAY()-N642,"")</f>
        <v>426</v>
      </c>
    </row>
    <row r="643" ht="17" customHeight="1" spans="1:19" x14ac:dyDescent="0.25">
      <c r="A643" s="3" t="s">
        <v>20</v>
      </c>
      <c r="B643" s="3" t="s">
        <v>1283</v>
      </c>
      <c r="C643" s="3" t="s">
        <v>1306</v>
      </c>
      <c r="D643" s="3" t="s">
        <v>1307</v>
      </c>
      <c r="E643" s="4">
        <v>13</v>
      </c>
      <c r="F643" s="5">
        <v>308.4484615384615</v>
      </c>
      <c r="G643" s="6">
        <v>45674</v>
      </c>
      <c r="H643" s="5">
        <v>307.81</v>
      </c>
      <c r="I643" s="7" t="s">
        <v>24</v>
      </c>
      <c r="J643" s="5"/>
      <c r="K643" s="8" t="str">
        <f>IF(AND(H643&gt;0,J643&gt;0),(J643-H643)/H643,"")</f>
        <v/>
      </c>
      <c r="L643" s="5"/>
      <c r="M643" s="8" t="str">
        <f>IF(AND(J643&gt;0,L643&gt;0),(L643-J643)/J643,IF(AND(H643&gt;0,L643&gt;0),(L643-H643)/H643,""))</f>
        <v/>
      </c>
      <c r="N643" s="6">
        <v>45674</v>
      </c>
      <c r="O643" s="5">
        <v>308.64</v>
      </c>
      <c r="P643" s="8" t="str">
        <f>IF(AND(L643&gt;0,O643&gt;0),(O643-L643)/L643,"")</f>
        <v/>
      </c>
      <c r="Q643" s="9">
        <v>0</v>
      </c>
      <c r="R643" s="9">
        <v>2</v>
      </c>
      <c r="S643" s="10">
        <f>IF(N643&gt;0,TODAY()-N643,"")</f>
        <v>437</v>
      </c>
    </row>
    <row r="644" ht="17" customHeight="1" spans="1:19" x14ac:dyDescent="0.25">
      <c r="A644" s="11" t="s">
        <v>20</v>
      </c>
      <c r="B644" s="11" t="s">
        <v>1283</v>
      </c>
      <c r="C644" s="11" t="s">
        <v>1308</v>
      </c>
      <c r="D644" s="11" t="s">
        <v>1309</v>
      </c>
      <c r="E644" s="12">
        <v>22</v>
      </c>
      <c r="F644" s="13">
        <v>255</v>
      </c>
      <c r="G644" s="14">
        <v>45965</v>
      </c>
      <c r="H644" s="13">
        <v>255</v>
      </c>
      <c r="I644" s="15" t="s">
        <v>60</v>
      </c>
      <c r="J644" s="13">
        <v>255</v>
      </c>
      <c r="K644" s="17">
        <f>IF(AND(H644&gt;0,J644&gt;0),(J644-H644)/H644,"")</f>
        <v>0</v>
      </c>
      <c r="L644" s="13"/>
      <c r="M644" s="16" t="str">
        <f>IF(AND(J644&gt;0,L644&gt;0),(L644-J644)/J644,IF(AND(H644&gt;0,L644&gt;0),(L644-H644)/H644,""))</f>
        <v/>
      </c>
      <c r="N644" s="14">
        <v>45965</v>
      </c>
      <c r="O644" s="13">
        <v>255</v>
      </c>
      <c r="P644" s="16" t="str">
        <f>IF(AND(L644&gt;0,O644&gt;0),(O644-L644)/L644,"")</f>
        <v/>
      </c>
      <c r="Q644" s="18"/>
      <c r="R644" s="18">
        <v>1</v>
      </c>
      <c r="S644" s="21">
        <f>IF(N644&gt;0,TODAY()-N644,"")</f>
        <v>146</v>
      </c>
    </row>
    <row r="645" ht="17" customHeight="1" spans="1:19" x14ac:dyDescent="0.25">
      <c r="A645" s="3" t="s">
        <v>20</v>
      </c>
      <c r="B645" s="3" t="s">
        <v>1283</v>
      </c>
      <c r="C645" s="3" t="s">
        <v>1310</v>
      </c>
      <c r="D645" s="3" t="s">
        <v>1311</v>
      </c>
      <c r="E645" s="4">
        <v>32</v>
      </c>
      <c r="F645" s="5">
        <v>286.58000000000004</v>
      </c>
      <c r="G645" s="6">
        <v>45686</v>
      </c>
      <c r="H645" s="5">
        <v>245.87</v>
      </c>
      <c r="I645" s="7" t="s">
        <v>54</v>
      </c>
      <c r="J645" s="5">
        <v>327.29</v>
      </c>
      <c r="K645" s="23">
        <f>IF(AND(H645&gt;0,J645&gt;0),(J645-H645)/H645,"")</f>
        <v>0.3311506080449018</v>
      </c>
      <c r="L645" s="5"/>
      <c r="M645" s="8" t="str">
        <f>IF(AND(J645&gt;0,L645&gt;0),(L645-J645)/J645,IF(AND(H645&gt;0,L645&gt;0),(L645-H645)/H645,""))</f>
        <v/>
      </c>
      <c r="N645" s="6">
        <v>45999</v>
      </c>
      <c r="O645" s="5">
        <v>327.29</v>
      </c>
      <c r="P645" s="8" t="str">
        <f>IF(AND(L645&gt;0,O645&gt;0),(O645-L645)/L645,"")</f>
        <v/>
      </c>
      <c r="Q645" s="9">
        <v>313</v>
      </c>
      <c r="R645" s="9">
        <v>2</v>
      </c>
      <c r="S645" s="21">
        <f>IF(N645&gt;0,TODAY()-N645,"")</f>
        <v>112</v>
      </c>
    </row>
    <row r="646" ht="17" customHeight="1" spans="1:19" x14ac:dyDescent="0.25">
      <c r="A646" s="11" t="s">
        <v>20</v>
      </c>
      <c r="B646" s="11" t="s">
        <v>1283</v>
      </c>
      <c r="C646" s="11" t="s">
        <v>1312</v>
      </c>
      <c r="D646" s="11" t="s">
        <v>1313</v>
      </c>
      <c r="E646" s="12">
        <v>1</v>
      </c>
      <c r="F646" s="13">
        <v>100</v>
      </c>
      <c r="G646" s="14">
        <v>45849</v>
      </c>
      <c r="H646" s="13">
        <v>100</v>
      </c>
      <c r="I646" s="15" t="s">
        <v>24</v>
      </c>
      <c r="J646" s="13"/>
      <c r="K646" s="16" t="str">
        <f>IF(AND(H646&gt;0,J646&gt;0),(J646-H646)/H646,"")</f>
        <v/>
      </c>
      <c r="L646" s="13"/>
      <c r="M646" s="16" t="str">
        <f>IF(AND(J646&gt;0,L646&gt;0),(L646-J646)/J646,IF(AND(H646&gt;0,L646&gt;0),(L646-H646)/H646,""))</f>
        <v/>
      </c>
      <c r="N646" s="14">
        <v>45849</v>
      </c>
      <c r="O646" s="13">
        <v>100</v>
      </c>
      <c r="P646" s="16" t="str">
        <f>IF(AND(L646&gt;0,O646&gt;0),(O646-L646)/L646,"")</f>
        <v/>
      </c>
      <c r="Q646" s="18"/>
      <c r="R646" s="18">
        <v>1</v>
      </c>
      <c r="S646" s="10">
        <f>IF(N646&gt;0,TODAY()-N646,"")</f>
        <v>262</v>
      </c>
    </row>
    <row r="647" ht="17" customHeight="1" spans="1:19" x14ac:dyDescent="0.25">
      <c r="A647" s="3" t="s">
        <v>20</v>
      </c>
      <c r="B647" s="3" t="s">
        <v>1283</v>
      </c>
      <c r="C647" s="3" t="s">
        <v>1314</v>
      </c>
      <c r="D647" s="3" t="s">
        <v>1315</v>
      </c>
      <c r="E647" s="4">
        <v>1</v>
      </c>
      <c r="F647" s="5">
        <v>1100</v>
      </c>
      <c r="G647" s="6">
        <v>45849</v>
      </c>
      <c r="H647" s="5">
        <v>1100</v>
      </c>
      <c r="I647" s="7" t="s">
        <v>24</v>
      </c>
      <c r="J647" s="5"/>
      <c r="K647" s="8" t="str">
        <f>IF(AND(H647&gt;0,J647&gt;0),(J647-H647)/H647,"")</f>
        <v/>
      </c>
      <c r="L647" s="5"/>
      <c r="M647" s="8" t="str">
        <f>IF(AND(J647&gt;0,L647&gt;0),(L647-J647)/J647,IF(AND(H647&gt;0,L647&gt;0),(L647-H647)/H647,""))</f>
        <v/>
      </c>
      <c r="N647" s="6">
        <v>45849</v>
      </c>
      <c r="O647" s="5">
        <v>1100</v>
      </c>
      <c r="P647" s="8" t="str">
        <f>IF(AND(L647&gt;0,O647&gt;0),(O647-L647)/L647,"")</f>
        <v/>
      </c>
      <c r="Q647" s="9"/>
      <c r="R647" s="9">
        <v>1</v>
      </c>
      <c r="S647" s="10">
        <f>IF(N647&gt;0,TODAY()-N647,"")</f>
        <v>262</v>
      </c>
    </row>
    <row r="648" ht="17" customHeight="1" spans="1:19" x14ac:dyDescent="0.25">
      <c r="A648" s="11" t="s">
        <v>20</v>
      </c>
      <c r="B648" s="11" t="s">
        <v>1283</v>
      </c>
      <c r="C648" s="11" t="s">
        <v>1316</v>
      </c>
      <c r="D648" s="11" t="s">
        <v>1317</v>
      </c>
      <c r="E648" s="12">
        <v>20</v>
      </c>
      <c r="F648" s="13">
        <v>209.5</v>
      </c>
      <c r="G648" s="14">
        <v>45835</v>
      </c>
      <c r="H648" s="13">
        <v>185</v>
      </c>
      <c r="I648" s="15" t="s">
        <v>24</v>
      </c>
      <c r="J648" s="13"/>
      <c r="K648" s="16" t="str">
        <f>IF(AND(H648&gt;0,J648&gt;0),(J648-H648)/H648,"")</f>
        <v/>
      </c>
      <c r="L648" s="13"/>
      <c r="M648" s="16" t="str">
        <f>IF(AND(J648&gt;0,L648&gt;0),(L648-J648)/J648,IF(AND(H648&gt;0,L648&gt;0),(L648-H648)/H648,""))</f>
        <v/>
      </c>
      <c r="N648" s="14">
        <v>46059</v>
      </c>
      <c r="O648" s="13">
        <v>234</v>
      </c>
      <c r="P648" s="23">
        <f>IF(AND(L648&gt;0,O648&gt;0),(O648-L648)/L648,"")</f>
        <v>0.2648648648648649</v>
      </c>
      <c r="Q648" s="18">
        <v>224</v>
      </c>
      <c r="R648" s="18">
        <v>2</v>
      </c>
      <c r="S648" s="18">
        <f>IF(N648&gt;0,TODAY()-N648,"")</f>
        <v>52</v>
      </c>
    </row>
    <row r="649" ht="17" customHeight="1" spans="1:19" x14ac:dyDescent="0.25">
      <c r="A649" s="3" t="s">
        <v>20</v>
      </c>
      <c r="B649" s="3" t="s">
        <v>1283</v>
      </c>
      <c r="C649" s="3" t="s">
        <v>1318</v>
      </c>
      <c r="D649" s="3" t="s">
        <v>1319</v>
      </c>
      <c r="E649" s="4">
        <v>6</v>
      </c>
      <c r="F649" s="5">
        <v>225</v>
      </c>
      <c r="G649" s="6">
        <v>45685</v>
      </c>
      <c r="H649" s="5">
        <v>225</v>
      </c>
      <c r="I649" s="7" t="s">
        <v>24</v>
      </c>
      <c r="J649" s="5"/>
      <c r="K649" s="8" t="str">
        <f>IF(AND(H649&gt;0,J649&gt;0),(J649-H649)/H649,"")</f>
        <v/>
      </c>
      <c r="L649" s="5"/>
      <c r="M649" s="8" t="str">
        <f>IF(AND(J649&gt;0,L649&gt;0),(L649-J649)/J649,IF(AND(H649&gt;0,L649&gt;0),(L649-H649)/H649,""))</f>
        <v/>
      </c>
      <c r="N649" s="6">
        <v>45685</v>
      </c>
      <c r="O649" s="5">
        <v>225</v>
      </c>
      <c r="P649" s="8" t="str">
        <f>IF(AND(L649&gt;0,O649&gt;0),(O649-L649)/L649,"")</f>
        <v/>
      </c>
      <c r="Q649" s="9"/>
      <c r="R649" s="9">
        <v>1</v>
      </c>
      <c r="S649" s="10">
        <f>IF(N649&gt;0,TODAY()-N649,"")</f>
        <v>426</v>
      </c>
    </row>
    <row r="650" ht="17" customHeight="1" spans="1:19" x14ac:dyDescent="0.25">
      <c r="A650" s="11" t="s">
        <v>20</v>
      </c>
      <c r="B650" s="11" t="s">
        <v>1283</v>
      </c>
      <c r="C650" s="11" t="s">
        <v>1320</v>
      </c>
      <c r="D650" s="11" t="s">
        <v>1321</v>
      </c>
      <c r="E650" s="12">
        <v>1202.1</v>
      </c>
      <c r="F650" s="13">
        <v>80.39312869145662</v>
      </c>
      <c r="G650" s="14">
        <v>45666</v>
      </c>
      <c r="H650" s="13">
        <v>62</v>
      </c>
      <c r="I650" s="15" t="s">
        <v>54</v>
      </c>
      <c r="J650" s="13">
        <v>88.86</v>
      </c>
      <c r="K650" s="23">
        <f>IF(AND(H650&gt;0,J650&gt;0),(J650-H650)/H650,"")</f>
        <v>0.4332258064516129</v>
      </c>
      <c r="L650" s="13"/>
      <c r="M650" s="16" t="str">
        <f>IF(AND(J650&gt;0,L650&gt;0),(L650-J650)/J650,IF(AND(H650&gt;0,L650&gt;0),(L650-H650)/H650,""))</f>
        <v/>
      </c>
      <c r="N650" s="14">
        <v>46085</v>
      </c>
      <c r="O650" s="13">
        <v>92.66</v>
      </c>
      <c r="P650" s="17">
        <f>IF(AND(L650&gt;0,O650&gt;0),(O650-L650)/L650,"")</f>
        <v>0.042763898266936724</v>
      </c>
      <c r="Q650" s="18">
        <v>60</v>
      </c>
      <c r="R650" s="18">
        <v>8</v>
      </c>
      <c r="S650" s="18">
        <f>IF(N650&gt;0,TODAY()-N650,"")</f>
        <v>26</v>
      </c>
    </row>
    <row r="651" ht="17" customHeight="1" spans="1:19" x14ac:dyDescent="0.25">
      <c r="A651" s="3" t="s">
        <v>20</v>
      </c>
      <c r="B651" s="3" t="s">
        <v>1283</v>
      </c>
      <c r="C651" s="3" t="s">
        <v>1322</v>
      </c>
      <c r="D651" s="3" t="s">
        <v>1323</v>
      </c>
      <c r="E651" s="4">
        <v>3906.8</v>
      </c>
      <c r="F651" s="5">
        <v>77.03244215214498</v>
      </c>
      <c r="G651" s="6">
        <v>45666</v>
      </c>
      <c r="H651" s="5">
        <v>62</v>
      </c>
      <c r="I651" s="7" t="s">
        <v>54</v>
      </c>
      <c r="J651" s="5">
        <v>88.86</v>
      </c>
      <c r="K651" s="23">
        <f>IF(AND(H651&gt;0,J651&gt;0),(J651-H651)/H651,"")</f>
        <v>0.4332258064516129</v>
      </c>
      <c r="L651" s="5">
        <v>88.86</v>
      </c>
      <c r="M651" s="24">
        <f>IF(AND(J651&gt;0,L651&gt;0),(L651-J651)/J651,IF(AND(H651&gt;0,L651&gt;0),(L651-H651)/H651,""))</f>
        <v>0</v>
      </c>
      <c r="N651" s="6">
        <v>46085</v>
      </c>
      <c r="O651" s="5">
        <v>92.66</v>
      </c>
      <c r="P651" s="24">
        <f>IF(AND(L651&gt;0,O651&gt;0),(O651-L651)/L651,"")</f>
        <v>0.042763898266936724</v>
      </c>
      <c r="Q651" s="9">
        <v>26</v>
      </c>
      <c r="R651" s="9">
        <v>17</v>
      </c>
      <c r="S651" s="9">
        <f>IF(N651&gt;0,TODAY()-N651,"")</f>
        <v>26</v>
      </c>
    </row>
    <row r="652" ht="17" customHeight="1" spans="1:19" x14ac:dyDescent="0.25">
      <c r="A652" s="11" t="s">
        <v>20</v>
      </c>
      <c r="B652" s="11" t="s">
        <v>1283</v>
      </c>
      <c r="C652" s="11" t="s">
        <v>1324</v>
      </c>
      <c r="D652" s="11" t="s">
        <v>1325</v>
      </c>
      <c r="E652" s="12">
        <v>3</v>
      </c>
      <c r="F652" s="13">
        <v>450</v>
      </c>
      <c r="G652" s="14">
        <v>46105</v>
      </c>
      <c r="H652" s="13">
        <v>450</v>
      </c>
      <c r="I652" s="15" t="s">
        <v>24</v>
      </c>
      <c r="J652" s="13"/>
      <c r="K652" s="16" t="str">
        <f>IF(AND(H652&gt;0,J652&gt;0),(J652-H652)/H652,"")</f>
        <v/>
      </c>
      <c r="L652" s="13"/>
      <c r="M652" s="16" t="str">
        <f>IF(AND(J652&gt;0,L652&gt;0),(L652-J652)/J652,IF(AND(H652&gt;0,L652&gt;0),(L652-H652)/H652,""))</f>
        <v/>
      </c>
      <c r="N652" s="14">
        <v>46105</v>
      </c>
      <c r="O652" s="13">
        <v>450</v>
      </c>
      <c r="P652" s="17">
        <f>IF(AND(L652&gt;0,O652&gt;0),(O652-L652)/L652,"")</f>
        <v>0</v>
      </c>
      <c r="Q652" s="18"/>
      <c r="R652" s="18">
        <v>1</v>
      </c>
      <c r="S652" s="18">
        <f>IF(N652&gt;0,TODAY()-N652,"")</f>
        <v>6</v>
      </c>
    </row>
    <row r="653" ht="17" customHeight="1" spans="1:19" x14ac:dyDescent="0.25">
      <c r="A653" s="3" t="s">
        <v>20</v>
      </c>
      <c r="B653" s="3" t="s">
        <v>1283</v>
      </c>
      <c r="C653" s="3" t="s">
        <v>1326</v>
      </c>
      <c r="D653" s="3" t="s">
        <v>1327</v>
      </c>
      <c r="E653" s="4">
        <v>15</v>
      </c>
      <c r="F653" s="5">
        <v>183</v>
      </c>
      <c r="G653" s="6">
        <v>45684</v>
      </c>
      <c r="H653" s="5">
        <v>135</v>
      </c>
      <c r="I653" s="7" t="s">
        <v>24</v>
      </c>
      <c r="J653" s="5"/>
      <c r="K653" s="8" t="str">
        <f>IF(AND(H653&gt;0,J653&gt;0),(J653-H653)/H653,"")</f>
        <v/>
      </c>
      <c r="L653" s="5"/>
      <c r="M653" s="8" t="str">
        <f>IF(AND(J653&gt;0,L653&gt;0),(L653-J653)/J653,IF(AND(H653&gt;0,L653&gt;0),(L653-H653)/H653,""))</f>
        <v/>
      </c>
      <c r="N653" s="6">
        <v>46064</v>
      </c>
      <c r="O653" s="5">
        <v>207</v>
      </c>
      <c r="P653" s="23">
        <f>IF(AND(L653&gt;0,O653&gt;0),(O653-L653)/L653,"")</f>
        <v>0.5333333333333333</v>
      </c>
      <c r="Q653" s="9">
        <v>380</v>
      </c>
      <c r="R653" s="9">
        <v>2</v>
      </c>
      <c r="S653" s="9">
        <f>IF(N653&gt;0,TODAY()-N653,"")</f>
        <v>47</v>
      </c>
    </row>
    <row r="654" ht="17" customHeight="1" spans="1:19" x14ac:dyDescent="0.25">
      <c r="A654" s="11" t="s">
        <v>20</v>
      </c>
      <c r="B654" s="11" t="s">
        <v>1283</v>
      </c>
      <c r="C654" s="11" t="s">
        <v>1328</v>
      </c>
      <c r="D654" s="11" t="s">
        <v>1329</v>
      </c>
      <c r="E654" s="12">
        <v>20</v>
      </c>
      <c r="F654" s="13">
        <v>210</v>
      </c>
      <c r="G654" s="14">
        <v>45721</v>
      </c>
      <c r="H654" s="13">
        <v>210</v>
      </c>
      <c r="I654" s="15" t="s">
        <v>24</v>
      </c>
      <c r="J654" s="13"/>
      <c r="K654" s="16" t="str">
        <f>IF(AND(H654&gt;0,J654&gt;0),(J654-H654)/H654,"")</f>
        <v/>
      </c>
      <c r="L654" s="13"/>
      <c r="M654" s="16" t="str">
        <f>IF(AND(J654&gt;0,L654&gt;0),(L654-J654)/J654,IF(AND(H654&gt;0,L654&gt;0),(L654-H654)/H654,""))</f>
        <v/>
      </c>
      <c r="N654" s="14">
        <v>45721</v>
      </c>
      <c r="O654" s="13">
        <v>210</v>
      </c>
      <c r="P654" s="16" t="str">
        <f>IF(AND(L654&gt;0,O654&gt;0),(O654-L654)/L654,"")</f>
        <v/>
      </c>
      <c r="Q654" s="18"/>
      <c r="R654" s="18">
        <v>1</v>
      </c>
      <c r="S654" s="10">
        <f>IF(N654&gt;0,TODAY()-N654,"")</f>
        <v>390</v>
      </c>
    </row>
    <row r="655" ht="17" customHeight="1" spans="1:19" x14ac:dyDescent="0.25">
      <c r="A655" s="3" t="s">
        <v>20</v>
      </c>
      <c r="B655" s="3" t="s">
        <v>1283</v>
      </c>
      <c r="C655" s="3" t="s">
        <v>1330</v>
      </c>
      <c r="D655" s="3" t="s">
        <v>1331</v>
      </c>
      <c r="E655" s="4">
        <v>44</v>
      </c>
      <c r="F655" s="5">
        <v>209.70659090909092</v>
      </c>
      <c r="G655" s="6">
        <v>45870</v>
      </c>
      <c r="H655" s="5">
        <v>219.2</v>
      </c>
      <c r="I655" s="7" t="s">
        <v>54</v>
      </c>
      <c r="J655" s="5">
        <v>310.59</v>
      </c>
      <c r="K655" s="23">
        <f>IF(AND(H655&gt;0,J655&gt;0),(J655-H655)/H655,"")</f>
        <v>0.4169251824817518</v>
      </c>
      <c r="L655" s="5">
        <v>162.51</v>
      </c>
      <c r="M655" s="26">
        <f>IF(AND(J655&gt;0,L655&gt;0),(L655-J655)/J655,IF(AND(H655&gt;0,L655&gt;0),(L655-H655)/H655,""))</f>
        <v>-0.4767700183521684</v>
      </c>
      <c r="N655" s="6">
        <v>46027</v>
      </c>
      <c r="O655" s="5">
        <v>162.51</v>
      </c>
      <c r="P655" s="8" t="str">
        <f>IF(AND(L655&gt;0,O655&gt;0),(O655-L655)/L655,"")</f>
        <v/>
      </c>
      <c r="Q655" s="9">
        <v>39</v>
      </c>
      <c r="R655" s="9">
        <v>5</v>
      </c>
      <c r="S655" s="19">
        <f>IF(N655&gt;0,TODAY()-N655,"")</f>
        <v>84</v>
      </c>
    </row>
    <row r="656" ht="17" customHeight="1" spans="1:19" x14ac:dyDescent="0.25">
      <c r="A656" s="11" t="s">
        <v>20</v>
      </c>
      <c r="B656" s="11" t="s">
        <v>1283</v>
      </c>
      <c r="C656" s="11" t="s">
        <v>1332</v>
      </c>
      <c r="D656" s="11" t="s">
        <v>1333</v>
      </c>
      <c r="E656" s="12">
        <v>12</v>
      </c>
      <c r="F656" s="13">
        <v>221.79833333333332</v>
      </c>
      <c r="G656" s="14">
        <v>45939</v>
      </c>
      <c r="H656" s="13">
        <v>221.8</v>
      </c>
      <c r="I656" s="15" t="s">
        <v>57</v>
      </c>
      <c r="J656" s="13">
        <v>221.8</v>
      </c>
      <c r="K656" s="17">
        <f>IF(AND(H656&gt;0,J656&gt;0),(J656-H656)/H656,"")</f>
        <v>0</v>
      </c>
      <c r="L656" s="13"/>
      <c r="M656" s="16" t="str">
        <f>IF(AND(J656&gt;0,L656&gt;0),(L656-J656)/J656,IF(AND(H656&gt;0,L656&gt;0),(L656-H656)/H656,""))</f>
        <v/>
      </c>
      <c r="N656" s="14">
        <v>45939</v>
      </c>
      <c r="O656" s="13">
        <v>221.8</v>
      </c>
      <c r="P656" s="16" t="str">
        <f>IF(AND(L656&gt;0,O656&gt;0),(O656-L656)/L656,"")</f>
        <v/>
      </c>
      <c r="Q656" s="18"/>
      <c r="R656" s="18">
        <v>1</v>
      </c>
      <c r="S656" s="21">
        <f>IF(N656&gt;0,TODAY()-N656,"")</f>
        <v>172</v>
      </c>
    </row>
    <row r="657" ht="17" customHeight="1" spans="1:19" x14ac:dyDescent="0.25">
      <c r="A657" s="3" t="s">
        <v>20</v>
      </c>
      <c r="B657" s="3" t="s">
        <v>1283</v>
      </c>
      <c r="C657" s="3" t="s">
        <v>1334</v>
      </c>
      <c r="D657" s="3" t="s">
        <v>1335</v>
      </c>
      <c r="E657" s="4">
        <v>80</v>
      </c>
      <c r="F657" s="5">
        <v>194.00055</v>
      </c>
      <c r="G657" s="6">
        <v>45721</v>
      </c>
      <c r="H657" s="5">
        <v>188.5</v>
      </c>
      <c r="I657" s="7" t="s">
        <v>24</v>
      </c>
      <c r="J657" s="5"/>
      <c r="K657" s="8" t="str">
        <f>IF(AND(H657&gt;0,J657&gt;0),(J657-H657)/H657,"")</f>
        <v/>
      </c>
      <c r="L657" s="5"/>
      <c r="M657" s="8" t="str">
        <f>IF(AND(J657&gt;0,L657&gt;0),(L657-J657)/J657,IF(AND(H657&gt;0,L657&gt;0),(L657-H657)/H657,""))</f>
        <v/>
      </c>
      <c r="N657" s="6">
        <v>45888</v>
      </c>
      <c r="O657" s="5">
        <v>167.38</v>
      </c>
      <c r="P657" s="8" t="str">
        <f>IF(AND(L657&gt;0,O657&gt;0),(O657-L657)/L657,"")</f>
        <v/>
      </c>
      <c r="Q657" s="9">
        <v>84</v>
      </c>
      <c r="R657" s="9">
        <v>3</v>
      </c>
      <c r="S657" s="10">
        <f>IF(N657&gt;0,TODAY()-N657,"")</f>
        <v>223</v>
      </c>
    </row>
    <row r="658" ht="17" customHeight="1" spans="1:19" x14ac:dyDescent="0.25">
      <c r="A658" s="11" t="s">
        <v>20</v>
      </c>
      <c r="B658" s="11" t="s">
        <v>1283</v>
      </c>
      <c r="C658" s="11" t="s">
        <v>1336</v>
      </c>
      <c r="D658" s="11" t="s">
        <v>1337</v>
      </c>
      <c r="E658" s="12">
        <v>25</v>
      </c>
      <c r="F658" s="13">
        <v>69</v>
      </c>
      <c r="G658" s="14">
        <v>45721</v>
      </c>
      <c r="H658" s="13">
        <v>69</v>
      </c>
      <c r="I658" s="15" t="s">
        <v>24</v>
      </c>
      <c r="J658" s="13"/>
      <c r="K658" s="16" t="str">
        <f>IF(AND(H658&gt;0,J658&gt;0),(J658-H658)/H658,"")</f>
        <v/>
      </c>
      <c r="L658" s="13"/>
      <c r="M658" s="16" t="str">
        <f>IF(AND(J658&gt;0,L658&gt;0),(L658-J658)/J658,IF(AND(H658&gt;0,L658&gt;0),(L658-H658)/H658,""))</f>
        <v/>
      </c>
      <c r="N658" s="14">
        <v>45721</v>
      </c>
      <c r="O658" s="13">
        <v>69</v>
      </c>
      <c r="P658" s="16" t="str">
        <f>IF(AND(L658&gt;0,O658&gt;0),(O658-L658)/L658,"")</f>
        <v/>
      </c>
      <c r="Q658" s="18"/>
      <c r="R658" s="18">
        <v>1</v>
      </c>
      <c r="S658" s="10">
        <f>IF(N658&gt;0,TODAY()-N658,"")</f>
        <v>390</v>
      </c>
    </row>
    <row r="659" ht="17" customHeight="1" spans="1:19" x14ac:dyDescent="0.25">
      <c r="A659" s="3" t="s">
        <v>20</v>
      </c>
      <c r="B659" s="3" t="s">
        <v>1283</v>
      </c>
      <c r="C659" s="3" t="s">
        <v>1338</v>
      </c>
      <c r="D659" s="3" t="s">
        <v>1339</v>
      </c>
      <c r="E659" s="4">
        <v>522</v>
      </c>
      <c r="F659" s="5">
        <v>309.0183026819923</v>
      </c>
      <c r="G659" s="6">
        <v>45671</v>
      </c>
      <c r="H659" s="5">
        <v>245.74</v>
      </c>
      <c r="I659" s="7" t="s">
        <v>54</v>
      </c>
      <c r="J659" s="5">
        <v>329.64</v>
      </c>
      <c r="K659" s="23">
        <f>IF(AND(H659&gt;0,J659&gt;0),(J659-H659)/H659,"")</f>
        <v>0.3414177586066573</v>
      </c>
      <c r="L659" s="5"/>
      <c r="M659" s="8" t="str">
        <f>IF(AND(J659&gt;0,L659&gt;0),(L659-J659)/J659,IF(AND(H659&gt;0,L659&gt;0),(L659-H659)/H659,""))</f>
        <v/>
      </c>
      <c r="N659" s="6">
        <v>46064</v>
      </c>
      <c r="O659" s="5">
        <v>350.64</v>
      </c>
      <c r="P659" s="24">
        <f>IF(AND(L659&gt;0,O659&gt;0),(O659-L659)/L659,"")</f>
        <v>0.06370586093920641</v>
      </c>
      <c r="Q659" s="9">
        <v>44</v>
      </c>
      <c r="R659" s="9">
        <v>10</v>
      </c>
      <c r="S659" s="9">
        <f>IF(N659&gt;0,TODAY()-N659,"")</f>
        <v>47</v>
      </c>
    </row>
    <row r="660" ht="17" customHeight="1" spans="1:19" x14ac:dyDescent="0.25">
      <c r="A660" s="11" t="s">
        <v>20</v>
      </c>
      <c r="B660" s="11" t="s">
        <v>1283</v>
      </c>
      <c r="C660" s="11" t="s">
        <v>1340</v>
      </c>
      <c r="D660" s="11" t="s">
        <v>1341</v>
      </c>
      <c r="E660" s="12">
        <v>120</v>
      </c>
      <c r="F660" s="13">
        <v>100.9</v>
      </c>
      <c r="G660" s="14">
        <v>45693</v>
      </c>
      <c r="H660" s="13">
        <v>85</v>
      </c>
      <c r="I660" s="15" t="s">
        <v>57</v>
      </c>
      <c r="J660" s="13">
        <v>120</v>
      </c>
      <c r="K660" s="23">
        <f>IF(AND(H660&gt;0,J660&gt;0),(J660-H660)/H660,"")</f>
        <v>0.4117647058823529</v>
      </c>
      <c r="L660" s="13"/>
      <c r="M660" s="16" t="str">
        <f>IF(AND(J660&gt;0,L660&gt;0),(L660-J660)/J660,IF(AND(H660&gt;0,L660&gt;0),(L660-H660)/H660,""))</f>
        <v/>
      </c>
      <c r="N660" s="14">
        <v>46064</v>
      </c>
      <c r="O660" s="13">
        <v>120</v>
      </c>
      <c r="P660" s="17">
        <f>IF(AND(L660&gt;0,O660&gt;0),(O660-L660)/L660,"")</f>
        <v>0</v>
      </c>
      <c r="Q660" s="18">
        <v>53</v>
      </c>
      <c r="R660" s="18">
        <v>8</v>
      </c>
      <c r="S660" s="18">
        <f>IF(N660&gt;0,TODAY()-N660,"")</f>
        <v>47</v>
      </c>
    </row>
    <row r="661" ht="17" customHeight="1" spans="1:19" x14ac:dyDescent="0.25">
      <c r="A661" s="3" t="s">
        <v>20</v>
      </c>
      <c r="B661" s="3" t="s">
        <v>1283</v>
      </c>
      <c r="C661" s="3" t="s">
        <v>1342</v>
      </c>
      <c r="D661" s="3" t="s">
        <v>1343</v>
      </c>
      <c r="E661" s="4">
        <v>20.25</v>
      </c>
      <c r="F661" s="5">
        <v>458.2436938271604</v>
      </c>
      <c r="G661" s="6">
        <v>45691</v>
      </c>
      <c r="H661" s="5">
        <v>426.25</v>
      </c>
      <c r="I661" s="7" t="s">
        <v>24</v>
      </c>
      <c r="J661" s="5"/>
      <c r="K661" s="8" t="str">
        <f>IF(AND(H661&gt;0,J661&gt;0),(J661-H661)/H661,"")</f>
        <v/>
      </c>
      <c r="L661" s="5">
        <v>495.72</v>
      </c>
      <c r="M661" s="22">
        <f>IF(AND(J661&gt;0,L661&gt;0),(L661-J661)/J661,IF(AND(H661&gt;0,L661&gt;0),(L661-H661)/H661,""))</f>
        <v>0.16297947214076253</v>
      </c>
      <c r="N661" s="6">
        <v>46027</v>
      </c>
      <c r="O661" s="5">
        <v>495.72</v>
      </c>
      <c r="P661" s="8" t="str">
        <f>IF(AND(L661&gt;0,O661&gt;0),(O661-L661)/L661,"")</f>
        <v/>
      </c>
      <c r="Q661" s="9">
        <v>48</v>
      </c>
      <c r="R661" s="9">
        <v>8</v>
      </c>
      <c r="S661" s="19">
        <f>IF(N661&gt;0,TODAY()-N661,"")</f>
        <v>84</v>
      </c>
    </row>
    <row r="662" ht="17" customHeight="1" spans="1:19" x14ac:dyDescent="0.25">
      <c r="A662" s="11" t="s">
        <v>20</v>
      </c>
      <c r="B662" s="11" t="s">
        <v>1283</v>
      </c>
      <c r="C662" s="11" t="s">
        <v>1344</v>
      </c>
      <c r="D662" s="11" t="s">
        <v>1345</v>
      </c>
      <c r="E662" s="12">
        <v>230</v>
      </c>
      <c r="F662" s="13">
        <v>336.8766086956522</v>
      </c>
      <c r="G662" s="14">
        <v>45700</v>
      </c>
      <c r="H662" s="13">
        <v>278.66</v>
      </c>
      <c r="I662" s="15" t="s">
        <v>60</v>
      </c>
      <c r="J662" s="13">
        <v>340.85</v>
      </c>
      <c r="K662" s="20">
        <f>IF(AND(H662&gt;0,J662&gt;0),(J662-H662)/H662,"")</f>
        <v>0.22317519557884158</v>
      </c>
      <c r="L662" s="13">
        <v>377.15</v>
      </c>
      <c r="M662" s="20">
        <f>IF(AND(J662&gt;0,L662&gt;0),(L662-J662)/J662,IF(AND(H662&gt;0,L662&gt;0),(L662-H662)/H662,""))</f>
        <v>0.10649845973302025</v>
      </c>
      <c r="N662" s="14">
        <v>46085</v>
      </c>
      <c r="O662" s="13">
        <v>389.53</v>
      </c>
      <c r="P662" s="17">
        <f>IF(AND(L662&gt;0,O662&gt;0),(O662-L662)/L662,"")</f>
        <v>0.03282513588757788</v>
      </c>
      <c r="Q662" s="18">
        <v>43</v>
      </c>
      <c r="R662" s="18">
        <v>10</v>
      </c>
      <c r="S662" s="18">
        <f>IF(N662&gt;0,TODAY()-N662,"")</f>
        <v>26</v>
      </c>
    </row>
    <row r="663" ht="17" customHeight="1" spans="1:19" x14ac:dyDescent="0.25">
      <c r="A663" s="3" t="s">
        <v>20</v>
      </c>
      <c r="B663" s="3" t="s">
        <v>1283</v>
      </c>
      <c r="C663" s="3" t="s">
        <v>1346</v>
      </c>
      <c r="D663" s="3" t="s">
        <v>1347</v>
      </c>
      <c r="E663" s="4">
        <v>66.2</v>
      </c>
      <c r="F663" s="5">
        <v>150</v>
      </c>
      <c r="G663" s="6">
        <v>45666</v>
      </c>
      <c r="H663" s="5">
        <v>150</v>
      </c>
      <c r="I663" s="7" t="s">
        <v>24</v>
      </c>
      <c r="J663" s="5"/>
      <c r="K663" s="8" t="str">
        <f>IF(AND(H663&gt;0,J663&gt;0),(J663-H663)/H663,"")</f>
        <v/>
      </c>
      <c r="L663" s="5"/>
      <c r="M663" s="8" t="str">
        <f>IF(AND(J663&gt;0,L663&gt;0),(L663-J663)/J663,IF(AND(H663&gt;0,L663&gt;0),(L663-H663)/H663,""))</f>
        <v/>
      </c>
      <c r="N663" s="6">
        <v>45666</v>
      </c>
      <c r="O663" s="5">
        <v>150</v>
      </c>
      <c r="P663" s="8" t="str">
        <f>IF(AND(L663&gt;0,O663&gt;0),(O663-L663)/L663,"")</f>
        <v/>
      </c>
      <c r="Q663" s="9"/>
      <c r="R663" s="9">
        <v>1</v>
      </c>
      <c r="S663" s="10">
        <f>IF(N663&gt;0,TODAY()-N663,"")</f>
        <v>445</v>
      </c>
    </row>
    <row r="664" ht="17" customHeight="1" spans="1:19" x14ac:dyDescent="0.25">
      <c r="A664" s="11" t="s">
        <v>20</v>
      </c>
      <c r="B664" s="11" t="s">
        <v>1283</v>
      </c>
      <c r="C664" s="11" t="s">
        <v>1348</v>
      </c>
      <c r="D664" s="11" t="s">
        <v>1349</v>
      </c>
      <c r="E664" s="12">
        <v>689.4000000000001</v>
      </c>
      <c r="F664" s="13">
        <v>211.85469973890338</v>
      </c>
      <c r="G664" s="14">
        <v>45761</v>
      </c>
      <c r="H664" s="13">
        <v>195</v>
      </c>
      <c r="I664" s="15" t="s">
        <v>57</v>
      </c>
      <c r="J664" s="13">
        <v>221.93</v>
      </c>
      <c r="K664" s="20">
        <f>IF(AND(H664&gt;0,J664&gt;0),(J664-H664)/H664,"")</f>
        <v>0.13810256410256413</v>
      </c>
      <c r="L664" s="13">
        <v>233.95</v>
      </c>
      <c r="M664" s="17">
        <f>IF(AND(J664&gt;0,L664&gt;0),(L664-J664)/J664,IF(AND(H664&gt;0,L664&gt;0),(L664-H664)/H664,""))</f>
        <v>0.05416122200693904</v>
      </c>
      <c r="N664" s="14">
        <v>46050</v>
      </c>
      <c r="O664" s="13">
        <v>233.95</v>
      </c>
      <c r="P664" s="16" t="str">
        <f>IF(AND(L664&gt;0,O664&gt;0),(O664-L664)/L664,"")</f>
        <v/>
      </c>
      <c r="Q664" s="18">
        <v>72</v>
      </c>
      <c r="R664" s="18">
        <v>5</v>
      </c>
      <c r="S664" s="19">
        <f>IF(N664&gt;0,TODAY()-N664,"")</f>
        <v>61</v>
      </c>
    </row>
    <row r="665" ht="17" customHeight="1" spans="1:19" x14ac:dyDescent="0.25">
      <c r="A665" s="3" t="s">
        <v>20</v>
      </c>
      <c r="B665" s="3" t="s">
        <v>1283</v>
      </c>
      <c r="C665" s="3" t="s">
        <v>1350</v>
      </c>
      <c r="D665" s="3" t="s">
        <v>1351</v>
      </c>
      <c r="E665" s="4">
        <v>912.4499999999999</v>
      </c>
      <c r="F665" s="5">
        <v>173.60960052605625</v>
      </c>
      <c r="G665" s="6">
        <v>45700</v>
      </c>
      <c r="H665" s="5">
        <v>131.15</v>
      </c>
      <c r="I665" s="7" t="s">
        <v>54</v>
      </c>
      <c r="J665" s="5">
        <v>187.93</v>
      </c>
      <c r="K665" s="23">
        <f>IF(AND(H665&gt;0,J665&gt;0),(J665-H665)/H665,"")</f>
        <v>0.4329393823865802</v>
      </c>
      <c r="L665" s="5">
        <v>188.81</v>
      </c>
      <c r="M665" s="24">
        <f>IF(AND(J665&gt;0,L665&gt;0),(L665-J665)/J665,IF(AND(H665&gt;0,L665&gt;0),(L665-H665)/H665,""))</f>
        <v>0.004682594583089424</v>
      </c>
      <c r="N665" s="6">
        <v>46085</v>
      </c>
      <c r="O665" s="5">
        <v>194.76</v>
      </c>
      <c r="P665" s="24">
        <f>IF(AND(L665&gt;0,O665&gt;0),(O665-L665)/L665,"")</f>
        <v>0.03151316137916418</v>
      </c>
      <c r="Q665" s="9">
        <v>39</v>
      </c>
      <c r="R665" s="9">
        <v>11</v>
      </c>
      <c r="S665" s="9">
        <f>IF(N665&gt;0,TODAY()-N665,"")</f>
        <v>26</v>
      </c>
    </row>
    <row r="666" ht="17" customHeight="1" spans="1:19" x14ac:dyDescent="0.25">
      <c r="A666" s="11" t="s">
        <v>20</v>
      </c>
      <c r="B666" s="11" t="s">
        <v>1283</v>
      </c>
      <c r="C666" s="11" t="s">
        <v>1352</v>
      </c>
      <c r="D666" s="11" t="s">
        <v>1353</v>
      </c>
      <c r="E666" s="12">
        <v>6</v>
      </c>
      <c r="F666" s="13">
        <v>199.3183333333333</v>
      </c>
      <c r="G666" s="14">
        <v>45888</v>
      </c>
      <c r="H666" s="13">
        <v>181.88</v>
      </c>
      <c r="I666" s="15" t="s">
        <v>54</v>
      </c>
      <c r="J666" s="13">
        <v>208.04</v>
      </c>
      <c r="K666" s="20">
        <f>IF(AND(H666&gt;0,J666&gt;0),(J666-H666)/H666,"")</f>
        <v>0.14383109742687486</v>
      </c>
      <c r="L666" s="13"/>
      <c r="M666" s="16" t="str">
        <f>IF(AND(J666&gt;0,L666&gt;0),(L666-J666)/J666,IF(AND(H666&gt;0,L666&gt;0),(L666-H666)/H666,""))</f>
        <v/>
      </c>
      <c r="N666" s="14">
        <v>45996</v>
      </c>
      <c r="O666" s="13">
        <v>208.04</v>
      </c>
      <c r="P666" s="16" t="str">
        <f>IF(AND(L666&gt;0,O666&gt;0),(O666-L666)/L666,"")</f>
        <v/>
      </c>
      <c r="Q666" s="18">
        <v>108</v>
      </c>
      <c r="R666" s="18">
        <v>2</v>
      </c>
      <c r="S666" s="21">
        <f>IF(N666&gt;0,TODAY()-N666,"")</f>
        <v>115</v>
      </c>
    </row>
    <row r="667" ht="17" customHeight="1" spans="1:19" x14ac:dyDescent="0.25">
      <c r="A667" s="3" t="s">
        <v>20</v>
      </c>
      <c r="B667" s="3" t="s">
        <v>1283</v>
      </c>
      <c r="C667" s="3" t="s">
        <v>1354</v>
      </c>
      <c r="D667" s="3" t="s">
        <v>1355</v>
      </c>
      <c r="E667" s="4">
        <v>16</v>
      </c>
      <c r="F667" s="5">
        <v>720</v>
      </c>
      <c r="G667" s="6">
        <v>45726</v>
      </c>
      <c r="H667" s="5">
        <v>720</v>
      </c>
      <c r="I667" s="7" t="s">
        <v>24</v>
      </c>
      <c r="J667" s="5"/>
      <c r="K667" s="8" t="str">
        <f>IF(AND(H667&gt;0,J667&gt;0),(J667-H667)/H667,"")</f>
        <v/>
      </c>
      <c r="L667" s="5"/>
      <c r="M667" s="8" t="str">
        <f>IF(AND(J667&gt;0,L667&gt;0),(L667-J667)/J667,IF(AND(H667&gt;0,L667&gt;0),(L667-H667)/H667,""))</f>
        <v/>
      </c>
      <c r="N667" s="6">
        <v>45754</v>
      </c>
      <c r="O667" s="5">
        <v>720</v>
      </c>
      <c r="P667" s="8" t="str">
        <f>IF(AND(L667&gt;0,O667&gt;0),(O667-L667)/L667,"")</f>
        <v/>
      </c>
      <c r="Q667" s="9">
        <v>28</v>
      </c>
      <c r="R667" s="9">
        <v>2</v>
      </c>
      <c r="S667" s="10">
        <f>IF(N667&gt;0,TODAY()-N667,"")</f>
        <v>357</v>
      </c>
    </row>
    <row r="668" ht="17" customHeight="1" spans="1:19" x14ac:dyDescent="0.25">
      <c r="A668" s="11" t="s">
        <v>20</v>
      </c>
      <c r="B668" s="11" t="s">
        <v>1283</v>
      </c>
      <c r="C668" s="11" t="s">
        <v>1356</v>
      </c>
      <c r="D668" s="11" t="s">
        <v>1357</v>
      </c>
      <c r="E668" s="12">
        <v>10</v>
      </c>
      <c r="F668" s="13">
        <v>150</v>
      </c>
      <c r="G668" s="14">
        <v>45680</v>
      </c>
      <c r="H668" s="13">
        <v>150</v>
      </c>
      <c r="I668" s="15" t="s">
        <v>24</v>
      </c>
      <c r="J668" s="13"/>
      <c r="K668" s="16" t="str">
        <f>IF(AND(H668&gt;0,J668&gt;0),(J668-H668)/H668,"")</f>
        <v/>
      </c>
      <c r="L668" s="13"/>
      <c r="M668" s="16" t="str">
        <f>IF(AND(J668&gt;0,L668&gt;0),(L668-J668)/J668,IF(AND(H668&gt;0,L668&gt;0),(L668-H668)/H668,""))</f>
        <v/>
      </c>
      <c r="N668" s="14">
        <v>45721</v>
      </c>
      <c r="O668" s="13">
        <v>150</v>
      </c>
      <c r="P668" s="16" t="str">
        <f>IF(AND(L668&gt;0,O668&gt;0),(O668-L668)/L668,"")</f>
        <v/>
      </c>
      <c r="Q668" s="18">
        <v>41</v>
      </c>
      <c r="R668" s="18">
        <v>2</v>
      </c>
      <c r="S668" s="10">
        <f>IF(N668&gt;0,TODAY()-N668,"")</f>
        <v>390</v>
      </c>
    </row>
    <row r="669" ht="17" customHeight="1" spans="1:19" x14ac:dyDescent="0.25">
      <c r="A669" s="3" t="s">
        <v>20</v>
      </c>
      <c r="B669" s="3" t="s">
        <v>1283</v>
      </c>
      <c r="C669" s="3" t="s">
        <v>1358</v>
      </c>
      <c r="D669" s="3" t="s">
        <v>1359</v>
      </c>
      <c r="E669" s="4">
        <v>10</v>
      </c>
      <c r="F669" s="5">
        <v>450</v>
      </c>
      <c r="G669" s="6">
        <v>45883</v>
      </c>
      <c r="H669" s="5">
        <v>450</v>
      </c>
      <c r="I669" s="7" t="s">
        <v>24</v>
      </c>
      <c r="J669" s="5"/>
      <c r="K669" s="8" t="str">
        <f>IF(AND(H669&gt;0,J669&gt;0),(J669-H669)/H669,"")</f>
        <v/>
      </c>
      <c r="L669" s="5"/>
      <c r="M669" s="8" t="str">
        <f>IF(AND(J669&gt;0,L669&gt;0),(L669-J669)/J669,IF(AND(H669&gt;0,L669&gt;0),(L669-H669)/H669,""))</f>
        <v/>
      </c>
      <c r="N669" s="6">
        <v>45930</v>
      </c>
      <c r="O669" s="5">
        <v>450</v>
      </c>
      <c r="P669" s="8" t="str">
        <f>IF(AND(L669&gt;0,O669&gt;0),(O669-L669)/L669,"")</f>
        <v/>
      </c>
      <c r="Q669" s="9">
        <v>24</v>
      </c>
      <c r="R669" s="9">
        <v>3</v>
      </c>
      <c r="S669" s="10">
        <f>IF(N669&gt;0,TODAY()-N669,"")</f>
        <v>181</v>
      </c>
    </row>
    <row r="670" ht="17" customHeight="1" spans="1:19" x14ac:dyDescent="0.25">
      <c r="A670" s="11" t="s">
        <v>20</v>
      </c>
      <c r="B670" s="11" t="s">
        <v>1283</v>
      </c>
      <c r="C670" s="11" t="s">
        <v>1360</v>
      </c>
      <c r="D670" s="11" t="s">
        <v>1361</v>
      </c>
      <c r="E670" s="12">
        <v>5</v>
      </c>
      <c r="F670" s="13">
        <v>498.76000000000005</v>
      </c>
      <c r="G670" s="14">
        <v>45918</v>
      </c>
      <c r="H670" s="13">
        <v>498.76</v>
      </c>
      <c r="I670" s="15" t="s">
        <v>24</v>
      </c>
      <c r="J670" s="13"/>
      <c r="K670" s="16" t="str">
        <f>IF(AND(H670&gt;0,J670&gt;0),(J670-H670)/H670,"")</f>
        <v/>
      </c>
      <c r="L670" s="13"/>
      <c r="M670" s="16" t="str">
        <f>IF(AND(J670&gt;0,L670&gt;0),(L670-J670)/J670,IF(AND(H670&gt;0,L670&gt;0),(L670-H670)/H670,""))</f>
        <v/>
      </c>
      <c r="N670" s="14">
        <v>45918</v>
      </c>
      <c r="O670" s="13">
        <v>498.76</v>
      </c>
      <c r="P670" s="16" t="str">
        <f>IF(AND(L670&gt;0,O670&gt;0),(O670-L670)/L670,"")</f>
        <v/>
      </c>
      <c r="Q670" s="18"/>
      <c r="R670" s="18">
        <v>1</v>
      </c>
      <c r="S670" s="10">
        <f>IF(N670&gt;0,TODAY()-N670,"")</f>
        <v>193</v>
      </c>
    </row>
    <row r="671" ht="17" customHeight="1" spans="1:19" x14ac:dyDescent="0.25">
      <c r="A671" s="3" t="s">
        <v>20</v>
      </c>
      <c r="B671" s="3" t="s">
        <v>1283</v>
      </c>
      <c r="C671" s="3" t="s">
        <v>1362</v>
      </c>
      <c r="D671" s="3" t="s">
        <v>1363</v>
      </c>
      <c r="E671" s="4">
        <v>1</v>
      </c>
      <c r="F671" s="5">
        <v>271.32</v>
      </c>
      <c r="G671" s="6">
        <v>46050</v>
      </c>
      <c r="H671" s="5">
        <v>271.32</v>
      </c>
      <c r="I671" s="7" t="s">
        <v>24</v>
      </c>
      <c r="J671" s="5"/>
      <c r="K671" s="8" t="str">
        <f>IF(AND(H671&gt;0,J671&gt;0),(J671-H671)/H671,"")</f>
        <v/>
      </c>
      <c r="L671" s="5">
        <v>271.32</v>
      </c>
      <c r="M671" s="24">
        <f>IF(AND(J671&gt;0,L671&gt;0),(L671-J671)/J671,IF(AND(H671&gt;0,L671&gt;0),(L671-H671)/H671,""))</f>
        <v>0</v>
      </c>
      <c r="N671" s="6">
        <v>46050</v>
      </c>
      <c r="O671" s="5">
        <v>271.32</v>
      </c>
      <c r="P671" s="8" t="str">
        <f>IF(AND(L671&gt;0,O671&gt;0),(O671-L671)/L671,"")</f>
        <v/>
      </c>
      <c r="Q671" s="9"/>
      <c r="R671" s="9">
        <v>1</v>
      </c>
      <c r="S671" s="19">
        <f>IF(N671&gt;0,TODAY()-N671,"")</f>
        <v>61</v>
      </c>
    </row>
    <row r="672" ht="17" customHeight="1" spans="1:19" x14ac:dyDescent="0.25">
      <c r="A672" s="11" t="s">
        <v>20</v>
      </c>
      <c r="B672" s="11" t="s">
        <v>1283</v>
      </c>
      <c r="C672" s="11" t="s">
        <v>1364</v>
      </c>
      <c r="D672" s="11" t="s">
        <v>1365</v>
      </c>
      <c r="E672" s="12">
        <v>2</v>
      </c>
      <c r="F672" s="13">
        <v>200</v>
      </c>
      <c r="G672" s="14">
        <v>45825</v>
      </c>
      <c r="H672" s="13">
        <v>200</v>
      </c>
      <c r="I672" s="15" t="s">
        <v>24</v>
      </c>
      <c r="J672" s="13"/>
      <c r="K672" s="16" t="str">
        <f>IF(AND(H672&gt;0,J672&gt;0),(J672-H672)/H672,"")</f>
        <v/>
      </c>
      <c r="L672" s="13"/>
      <c r="M672" s="16" t="str">
        <f>IF(AND(J672&gt;0,L672&gt;0),(L672-J672)/J672,IF(AND(H672&gt;0,L672&gt;0),(L672-H672)/H672,""))</f>
        <v/>
      </c>
      <c r="N672" s="14">
        <v>45825</v>
      </c>
      <c r="O672" s="13">
        <v>200</v>
      </c>
      <c r="P672" s="16" t="str">
        <f>IF(AND(L672&gt;0,O672&gt;0),(O672-L672)/L672,"")</f>
        <v/>
      </c>
      <c r="Q672" s="18"/>
      <c r="R672" s="18">
        <v>1</v>
      </c>
      <c r="S672" s="10">
        <f>IF(N672&gt;0,TODAY()-N672,"")</f>
        <v>286</v>
      </c>
    </row>
    <row r="673" ht="17" customHeight="1" spans="1:19" x14ac:dyDescent="0.25">
      <c r="A673" s="3" t="s">
        <v>20</v>
      </c>
      <c r="B673" s="3" t="s">
        <v>1283</v>
      </c>
      <c r="C673" s="3" t="s">
        <v>1366</v>
      </c>
      <c r="D673" s="3" t="s">
        <v>1367</v>
      </c>
      <c r="E673" s="4">
        <v>1</v>
      </c>
      <c r="F673" s="5">
        <v>432</v>
      </c>
      <c r="G673" s="6">
        <v>45918</v>
      </c>
      <c r="H673" s="5">
        <v>432</v>
      </c>
      <c r="I673" s="7" t="s">
        <v>24</v>
      </c>
      <c r="J673" s="5"/>
      <c r="K673" s="8" t="str">
        <f>IF(AND(H673&gt;0,J673&gt;0),(J673-H673)/H673,"")</f>
        <v/>
      </c>
      <c r="L673" s="5"/>
      <c r="M673" s="8" t="str">
        <f>IF(AND(J673&gt;0,L673&gt;0),(L673-J673)/J673,IF(AND(H673&gt;0,L673&gt;0),(L673-H673)/H673,""))</f>
        <v/>
      </c>
      <c r="N673" s="6">
        <v>45918</v>
      </c>
      <c r="O673" s="5">
        <v>432</v>
      </c>
      <c r="P673" s="8" t="str">
        <f>IF(AND(L673&gt;0,O673&gt;0),(O673-L673)/L673,"")</f>
        <v/>
      </c>
      <c r="Q673" s="9"/>
      <c r="R673" s="9">
        <v>1</v>
      </c>
      <c r="S673" s="10">
        <f>IF(N673&gt;0,TODAY()-N673,"")</f>
        <v>193</v>
      </c>
    </row>
    <row r="674" ht="17" customHeight="1" spans="1:19" x14ac:dyDescent="0.25">
      <c r="A674" s="11" t="s">
        <v>20</v>
      </c>
      <c r="B674" s="11" t="s">
        <v>1283</v>
      </c>
      <c r="C674" s="11" t="s">
        <v>1368</v>
      </c>
      <c r="D674" s="11" t="s">
        <v>1369</v>
      </c>
      <c r="E674" s="12">
        <v>15</v>
      </c>
      <c r="F674" s="13">
        <v>125</v>
      </c>
      <c r="G674" s="14">
        <v>45672</v>
      </c>
      <c r="H674" s="13">
        <v>125</v>
      </c>
      <c r="I674" s="15" t="s">
        <v>24</v>
      </c>
      <c r="J674" s="13"/>
      <c r="K674" s="16" t="str">
        <f>IF(AND(H674&gt;0,J674&gt;0),(J674-H674)/H674,"")</f>
        <v/>
      </c>
      <c r="L674" s="13"/>
      <c r="M674" s="16" t="str">
        <f>IF(AND(J674&gt;0,L674&gt;0),(L674-J674)/J674,IF(AND(H674&gt;0,L674&gt;0),(L674-H674)/H674,""))</f>
        <v/>
      </c>
      <c r="N674" s="14">
        <v>45729</v>
      </c>
      <c r="O674" s="13">
        <v>125</v>
      </c>
      <c r="P674" s="16" t="str">
        <f>IF(AND(L674&gt;0,O674&gt;0),(O674-L674)/L674,"")</f>
        <v/>
      </c>
      <c r="Q674" s="18">
        <v>57</v>
      </c>
      <c r="R674" s="18">
        <v>2</v>
      </c>
      <c r="S674" s="10">
        <f>IF(N674&gt;0,TODAY()-N674,"")</f>
        <v>382</v>
      </c>
    </row>
    <row r="675" ht="17" customHeight="1" spans="1:19" x14ac:dyDescent="0.25">
      <c r="A675" s="3" t="s">
        <v>20</v>
      </c>
      <c r="B675" s="3" t="s">
        <v>1283</v>
      </c>
      <c r="C675" s="3" t="s">
        <v>1370</v>
      </c>
      <c r="D675" s="3" t="s">
        <v>1371</v>
      </c>
      <c r="E675" s="4">
        <v>920</v>
      </c>
      <c r="F675" s="5">
        <v>107.15350701086956</v>
      </c>
      <c r="G675" s="6">
        <v>45684</v>
      </c>
      <c r="H675" s="5">
        <v>91.4</v>
      </c>
      <c r="I675" s="7" t="s">
        <v>60</v>
      </c>
      <c r="J675" s="5">
        <v>119.59</v>
      </c>
      <c r="K675" s="23">
        <f>IF(AND(H675&gt;0,J675&gt;0),(J675-H675)/H675,"")</f>
        <v>0.30842450765864327</v>
      </c>
      <c r="L675" s="5"/>
      <c r="M675" s="8" t="str">
        <f>IF(AND(J675&gt;0,L675&gt;0),(L675-J675)/J675,IF(AND(H675&gt;0,L675&gt;0),(L675-H675)/H675,""))</f>
        <v/>
      </c>
      <c r="N675" s="6">
        <v>45974</v>
      </c>
      <c r="O675" s="5">
        <v>119.59</v>
      </c>
      <c r="P675" s="8" t="str">
        <f>IF(AND(L675&gt;0,O675&gt;0),(O675-L675)/L675,"")</f>
        <v/>
      </c>
      <c r="Q675" s="9">
        <v>97</v>
      </c>
      <c r="R675" s="9">
        <v>4</v>
      </c>
      <c r="S675" s="21">
        <f>IF(N675&gt;0,TODAY()-N675,"")</f>
        <v>137</v>
      </c>
    </row>
    <row r="676" ht="17" customHeight="1" spans="1:19" x14ac:dyDescent="0.25">
      <c r="A676" s="11" t="s">
        <v>20</v>
      </c>
      <c r="B676" s="11" t="s">
        <v>1283</v>
      </c>
      <c r="C676" s="11" t="s">
        <v>1372</v>
      </c>
      <c r="D676" s="11" t="s">
        <v>1373</v>
      </c>
      <c r="E676" s="12">
        <v>1000</v>
      </c>
      <c r="F676" s="13">
        <v>107.15350875000001</v>
      </c>
      <c r="G676" s="14">
        <v>45684</v>
      </c>
      <c r="H676" s="13">
        <v>91.4</v>
      </c>
      <c r="I676" s="15" t="s">
        <v>60</v>
      </c>
      <c r="J676" s="13">
        <v>119.59</v>
      </c>
      <c r="K676" s="23">
        <f>IF(AND(H676&gt;0,J676&gt;0),(J676-H676)/H676,"")</f>
        <v>0.30842450765864327</v>
      </c>
      <c r="L676" s="13"/>
      <c r="M676" s="16" t="str">
        <f>IF(AND(J676&gt;0,L676&gt;0),(L676-J676)/J676,IF(AND(H676&gt;0,L676&gt;0),(L676-H676)/H676,""))</f>
        <v/>
      </c>
      <c r="N676" s="14">
        <v>45974</v>
      </c>
      <c r="O676" s="13">
        <v>119.59</v>
      </c>
      <c r="P676" s="16" t="str">
        <f>IF(AND(L676&gt;0,O676&gt;0),(O676-L676)/L676,"")</f>
        <v/>
      </c>
      <c r="Q676" s="18">
        <v>97</v>
      </c>
      <c r="R676" s="18">
        <v>4</v>
      </c>
      <c r="S676" s="21">
        <f>IF(N676&gt;0,TODAY()-N676,"")</f>
        <v>137</v>
      </c>
    </row>
    <row r="677" ht="17" customHeight="1" spans="1:19" x14ac:dyDescent="0.25">
      <c r="A677" s="3" t="s">
        <v>20</v>
      </c>
      <c r="B677" s="3" t="s">
        <v>1283</v>
      </c>
      <c r="C677" s="3" t="s">
        <v>1374</v>
      </c>
      <c r="D677" s="3" t="s">
        <v>1375</v>
      </c>
      <c r="E677" s="4">
        <v>2620</v>
      </c>
      <c r="F677" s="5">
        <v>116.98734427480916</v>
      </c>
      <c r="G677" s="6">
        <v>45666</v>
      </c>
      <c r="H677" s="5">
        <v>106.85</v>
      </c>
      <c r="I677" s="7" t="s">
        <v>54</v>
      </c>
      <c r="J677" s="5">
        <v>106.12</v>
      </c>
      <c r="K677" s="26">
        <f>IF(AND(H677&gt;0,J677&gt;0),(J677-H677)/H677,"")</f>
        <v>-0.006832007487131397</v>
      </c>
      <c r="L677" s="5">
        <v>123.71</v>
      </c>
      <c r="M677" s="22">
        <f>IF(AND(J677&gt;0,L677&gt;0),(L677-J677)/J677,IF(AND(H677&gt;0,L677&gt;0),(L677-H677)/H677,""))</f>
        <v>0.16575574820957395</v>
      </c>
      <c r="N677" s="6">
        <v>46085</v>
      </c>
      <c r="O677" s="5">
        <v>131.48</v>
      </c>
      <c r="P677" s="24">
        <f>IF(AND(L677&gt;0,O677&gt;0),(O677-L677)/L677,"")</f>
        <v>0.06280818042195455</v>
      </c>
      <c r="Q677" s="9">
        <v>22</v>
      </c>
      <c r="R677" s="9">
        <v>20</v>
      </c>
      <c r="S677" s="9">
        <f>IF(N677&gt;0,TODAY()-N677,"")</f>
        <v>26</v>
      </c>
    </row>
    <row r="678" ht="17" customHeight="1" spans="1:19" x14ac:dyDescent="0.25">
      <c r="A678" s="11" t="s">
        <v>20</v>
      </c>
      <c r="B678" s="11" t="s">
        <v>1283</v>
      </c>
      <c r="C678" s="11" t="s">
        <v>1376</v>
      </c>
      <c r="D678" s="11" t="s">
        <v>1377</v>
      </c>
      <c r="E678" s="12">
        <v>1400</v>
      </c>
      <c r="F678" s="13">
        <v>186.06581428571428</v>
      </c>
      <c r="G678" s="14">
        <v>45666</v>
      </c>
      <c r="H678" s="13">
        <v>177</v>
      </c>
      <c r="I678" s="15" t="s">
        <v>54</v>
      </c>
      <c r="J678" s="13">
        <v>185.31</v>
      </c>
      <c r="K678" s="17">
        <f>IF(AND(H678&gt;0,J678&gt;0),(J678-H678)/H678,"")</f>
        <v>0.0469491525423729</v>
      </c>
      <c r="L678" s="13"/>
      <c r="M678" s="16" t="str">
        <f>IF(AND(J678&gt;0,L678&gt;0),(L678-J678)/J678,IF(AND(H678&gt;0,L678&gt;0),(L678-H678)/H678,""))</f>
        <v/>
      </c>
      <c r="N678" s="14">
        <v>46106</v>
      </c>
      <c r="O678" s="13">
        <v>225.49</v>
      </c>
      <c r="P678" s="20">
        <f>IF(AND(L678&gt;0,O678&gt;0),(O678-L678)/L678,"")</f>
        <v>0.21682585937078414</v>
      </c>
      <c r="Q678" s="18">
        <v>23</v>
      </c>
      <c r="R678" s="18">
        <v>20</v>
      </c>
      <c r="S678" s="18">
        <f>IF(N678&gt;0,TODAY()-N678,"")</f>
        <v>5</v>
      </c>
    </row>
    <row r="679" ht="17" customHeight="1" spans="1:19" x14ac:dyDescent="0.25">
      <c r="A679" s="3" t="s">
        <v>20</v>
      </c>
      <c r="B679" s="3" t="s">
        <v>1283</v>
      </c>
      <c r="C679" s="3" t="s">
        <v>1378</v>
      </c>
      <c r="D679" s="3" t="s">
        <v>1379</v>
      </c>
      <c r="E679" s="4">
        <v>120</v>
      </c>
      <c r="F679" s="5">
        <v>213.88691666666668</v>
      </c>
      <c r="G679" s="6">
        <v>45666</v>
      </c>
      <c r="H679" s="5">
        <v>213</v>
      </c>
      <c r="I679" s="7" t="s">
        <v>24</v>
      </c>
      <c r="J679" s="5"/>
      <c r="K679" s="8" t="str">
        <f>IF(AND(H679&gt;0,J679&gt;0),(J679-H679)/H679,"")</f>
        <v/>
      </c>
      <c r="L679" s="5"/>
      <c r="M679" s="8" t="str">
        <f>IF(AND(J679&gt;0,L679&gt;0),(L679-J679)/J679,IF(AND(H679&gt;0,L679&gt;0),(L679-H679)/H679,""))</f>
        <v/>
      </c>
      <c r="N679" s="6">
        <v>45721</v>
      </c>
      <c r="O679" s="5">
        <v>214.77</v>
      </c>
      <c r="P679" s="8" t="str">
        <f>IF(AND(L679&gt;0,O679&gt;0),(O679-L679)/L679,"")</f>
        <v/>
      </c>
      <c r="Q679" s="9">
        <v>55</v>
      </c>
      <c r="R679" s="9">
        <v>2</v>
      </c>
      <c r="S679" s="10">
        <f>IF(N679&gt;0,TODAY()-N679,"")</f>
        <v>390</v>
      </c>
    </row>
    <row r="680" ht="17" customHeight="1" spans="1:19" x14ac:dyDescent="0.25">
      <c r="A680" s="11" t="s">
        <v>20</v>
      </c>
      <c r="B680" s="11" t="s">
        <v>1283</v>
      </c>
      <c r="C680" s="11" t="s">
        <v>1380</v>
      </c>
      <c r="D680" s="11" t="s">
        <v>1381</v>
      </c>
      <c r="E680" s="12">
        <v>30.24</v>
      </c>
      <c r="F680" s="13">
        <v>261.11607142857144</v>
      </c>
      <c r="G680" s="14">
        <v>45681</v>
      </c>
      <c r="H680" s="13">
        <v>261.12</v>
      </c>
      <c r="I680" s="15" t="s">
        <v>24</v>
      </c>
      <c r="J680" s="13"/>
      <c r="K680" s="16" t="str">
        <f>IF(AND(H680&gt;0,J680&gt;0),(J680-H680)/H680,"")</f>
        <v/>
      </c>
      <c r="L680" s="13"/>
      <c r="M680" s="16" t="str">
        <f>IF(AND(J680&gt;0,L680&gt;0),(L680-J680)/J680,IF(AND(H680&gt;0,L680&gt;0),(L680-H680)/H680,""))</f>
        <v/>
      </c>
      <c r="N680" s="14">
        <v>45681</v>
      </c>
      <c r="O680" s="13">
        <v>261.12</v>
      </c>
      <c r="P680" s="16" t="str">
        <f>IF(AND(L680&gt;0,O680&gt;0),(O680-L680)/L680,"")</f>
        <v/>
      </c>
      <c r="Q680" s="18"/>
      <c r="R680" s="18">
        <v>1</v>
      </c>
      <c r="S680" s="10">
        <f>IF(N680&gt;0,TODAY()-N680,"")</f>
        <v>430</v>
      </c>
    </row>
    <row r="681" ht="17" customHeight="1" spans="1:19" x14ac:dyDescent="0.25">
      <c r="A681" s="3" t="s">
        <v>20</v>
      </c>
      <c r="B681" s="3" t="s">
        <v>1283</v>
      </c>
      <c r="C681" s="3" t="s">
        <v>1382</v>
      </c>
      <c r="D681" s="3" t="s">
        <v>1383</v>
      </c>
      <c r="E681" s="4">
        <v>16220</v>
      </c>
      <c r="F681" s="5">
        <v>73.85354167694203</v>
      </c>
      <c r="G681" s="6">
        <v>45666</v>
      </c>
      <c r="H681" s="5">
        <v>67</v>
      </c>
      <c r="I681" s="7" t="s">
        <v>54</v>
      </c>
      <c r="J681" s="5">
        <v>74.25</v>
      </c>
      <c r="K681" s="22">
        <f>IF(AND(H681&gt;0,J681&gt;0),(J681-H681)/H681,"")</f>
        <v>0.10820895522388058</v>
      </c>
      <c r="L681" s="5">
        <v>75.77</v>
      </c>
      <c r="M681" s="24">
        <f>IF(AND(J681&gt;0,L681&gt;0),(L681-J681)/J681,IF(AND(H681&gt;0,L681&gt;0),(L681-H681)/H681,""))</f>
        <v>0.020471380471380418</v>
      </c>
      <c r="N681" s="6">
        <v>46097</v>
      </c>
      <c r="O681" s="5">
        <v>74.2</v>
      </c>
      <c r="P681" s="26">
        <f>IF(AND(L681&gt;0,O681&gt;0),(O681-L681)/L681,"")</f>
        <v>-0.020720601821301216</v>
      </c>
      <c r="Q681" s="9">
        <v>20</v>
      </c>
      <c r="R681" s="9">
        <v>23</v>
      </c>
      <c r="S681" s="9">
        <f>IF(N681&gt;0,TODAY()-N681,"")</f>
        <v>14</v>
      </c>
    </row>
    <row r="682" ht="17" customHeight="1" spans="1:19" x14ac:dyDescent="0.25">
      <c r="A682" s="11" t="s">
        <v>20</v>
      </c>
      <c r="B682" s="11" t="s">
        <v>1283</v>
      </c>
      <c r="C682" s="11" t="s">
        <v>1384</v>
      </c>
      <c r="D682" s="11" t="s">
        <v>1385</v>
      </c>
      <c r="E682" s="12">
        <v>28</v>
      </c>
      <c r="F682" s="13">
        <v>63.18928571428571</v>
      </c>
      <c r="G682" s="14">
        <v>45680</v>
      </c>
      <c r="H682" s="13">
        <v>58.17</v>
      </c>
      <c r="I682" s="15" t="s">
        <v>24</v>
      </c>
      <c r="J682" s="13"/>
      <c r="K682" s="16" t="str">
        <f>IF(AND(H682&gt;0,J682&gt;0),(J682-H682)/H682,"")</f>
        <v/>
      </c>
      <c r="L682" s="13"/>
      <c r="M682" s="16" t="str">
        <f>IF(AND(J682&gt;0,L682&gt;0),(L682-J682)/J682,IF(AND(H682&gt;0,L682&gt;0),(L682-H682)/H682,""))</f>
        <v/>
      </c>
      <c r="N682" s="14">
        <v>45721</v>
      </c>
      <c r="O682" s="13">
        <v>68.21</v>
      </c>
      <c r="P682" s="16" t="str">
        <f>IF(AND(L682&gt;0,O682&gt;0),(O682-L682)/L682,"")</f>
        <v/>
      </c>
      <c r="Q682" s="18">
        <v>41</v>
      </c>
      <c r="R682" s="18">
        <v>2</v>
      </c>
      <c r="S682" s="10">
        <f>IF(N682&gt;0,TODAY()-N682,"")</f>
        <v>390</v>
      </c>
    </row>
    <row r="683" ht="17" customHeight="1" spans="1:19" x14ac:dyDescent="0.25">
      <c r="A683" s="3" t="s">
        <v>20</v>
      </c>
      <c r="B683" s="3" t="s">
        <v>1283</v>
      </c>
      <c r="C683" s="3" t="s">
        <v>1386</v>
      </c>
      <c r="D683" s="3" t="s">
        <v>1387</v>
      </c>
      <c r="E683" s="4">
        <v>826.1999999999999</v>
      </c>
      <c r="F683" s="5">
        <v>108.12283949527959</v>
      </c>
      <c r="G683" s="6">
        <v>45663</v>
      </c>
      <c r="H683" s="5">
        <v>95.99</v>
      </c>
      <c r="I683" s="7" t="s">
        <v>54</v>
      </c>
      <c r="J683" s="5">
        <v>124.07</v>
      </c>
      <c r="K683" s="23">
        <f>IF(AND(H683&gt;0,J683&gt;0),(J683-H683)/H683,"")</f>
        <v>0.29253047192415876</v>
      </c>
      <c r="L683" s="5">
        <v>129.63</v>
      </c>
      <c r="M683" s="24">
        <f>IF(AND(J683&gt;0,L683&gt;0),(L683-J683)/J683,IF(AND(H683&gt;0,L683&gt;0),(L683-H683)/H683,""))</f>
        <v>0.04481341178367053</v>
      </c>
      <c r="N683" s="6">
        <v>46094</v>
      </c>
      <c r="O683" s="5">
        <v>129.63</v>
      </c>
      <c r="P683" s="24">
        <f>IF(AND(L683&gt;0,O683&gt;0),(O683-L683)/L683,"")</f>
        <v>0</v>
      </c>
      <c r="Q683" s="9">
        <v>27</v>
      </c>
      <c r="R683" s="9">
        <v>17</v>
      </c>
      <c r="S683" s="9">
        <f>IF(N683&gt;0,TODAY()-N683,"")</f>
        <v>17</v>
      </c>
    </row>
    <row r="684" ht="17" customHeight="1" spans="1:19" x14ac:dyDescent="0.25">
      <c r="A684" s="11" t="s">
        <v>20</v>
      </c>
      <c r="B684" s="11" t="s">
        <v>1283</v>
      </c>
      <c r="C684" s="11" t="s">
        <v>1388</v>
      </c>
      <c r="D684" s="11" t="s">
        <v>1389</v>
      </c>
      <c r="E684" s="12">
        <v>1474</v>
      </c>
      <c r="F684" s="13">
        <v>71.64745318860244</v>
      </c>
      <c r="G684" s="14">
        <v>45666</v>
      </c>
      <c r="H684" s="13">
        <v>70.26</v>
      </c>
      <c r="I684" s="15" t="s">
        <v>54</v>
      </c>
      <c r="J684" s="13">
        <v>72.13</v>
      </c>
      <c r="K684" s="17">
        <f>IF(AND(H684&gt;0,J684&gt;0),(J684-H684)/H684,"")</f>
        <v>0.026615428408767294</v>
      </c>
      <c r="L684" s="13">
        <v>67.1</v>
      </c>
      <c r="M684" s="25">
        <f>IF(AND(J684&gt;0,L684&gt;0),(L684-J684)/J684,IF(AND(H684&gt;0,L684&gt;0),(L684-H684)/H684,""))</f>
        <v>-0.06973520033273259</v>
      </c>
      <c r="N684" s="14">
        <v>46097</v>
      </c>
      <c r="O684" s="13">
        <v>69</v>
      </c>
      <c r="P684" s="17">
        <f>IF(AND(L684&gt;0,O684&gt;0),(O684-L684)/L684,"")</f>
        <v>0.02831594634873332</v>
      </c>
      <c r="Q684" s="18">
        <v>27</v>
      </c>
      <c r="R684" s="18">
        <v>17</v>
      </c>
      <c r="S684" s="18">
        <f>IF(N684&gt;0,TODAY()-N684,"")</f>
        <v>14</v>
      </c>
    </row>
    <row r="685" ht="17" customHeight="1" spans="1:19" x14ac:dyDescent="0.25">
      <c r="A685" s="3" t="s">
        <v>20</v>
      </c>
      <c r="B685" s="3" t="s">
        <v>1283</v>
      </c>
      <c r="C685" s="3" t="s">
        <v>1390</v>
      </c>
      <c r="D685" s="3" t="s">
        <v>1391</v>
      </c>
      <c r="E685" s="4">
        <v>100</v>
      </c>
      <c r="F685" s="5">
        <v>263.055</v>
      </c>
      <c r="G685" s="6">
        <v>46017</v>
      </c>
      <c r="H685" s="5">
        <v>258.71</v>
      </c>
      <c r="I685" s="7" t="s">
        <v>54</v>
      </c>
      <c r="J685" s="5">
        <v>267.4</v>
      </c>
      <c r="K685" s="24">
        <f>IF(AND(H685&gt;0,J685&gt;0),(J685-H685)/H685,"")</f>
        <v>0.033589733678636303</v>
      </c>
      <c r="L685" s="5"/>
      <c r="M685" s="8" t="str">
        <f>IF(AND(J685&gt;0,L685&gt;0),(L685-J685)/J685,IF(AND(H685&gt;0,L685&gt;0),(L685-H685)/H685,""))</f>
        <v/>
      </c>
      <c r="N685" s="6">
        <v>46021</v>
      </c>
      <c r="O685" s="5">
        <v>267.4</v>
      </c>
      <c r="P685" s="8" t="str">
        <f>IF(AND(L685&gt;0,O685&gt;0),(O685-L685)/L685,"")</f>
        <v/>
      </c>
      <c r="Q685" s="9">
        <v>4</v>
      </c>
      <c r="R685" s="9">
        <v>2</v>
      </c>
      <c r="S685" s="19">
        <f>IF(N685&gt;0,TODAY()-N685,"")</f>
        <v>90</v>
      </c>
    </row>
    <row r="686" ht="17" customHeight="1" spans="1:19" x14ac:dyDescent="0.25">
      <c r="A686" s="11" t="s">
        <v>20</v>
      </c>
      <c r="B686" s="11" t="s">
        <v>1283</v>
      </c>
      <c r="C686" s="11" t="s">
        <v>1392</v>
      </c>
      <c r="D686" s="11" t="s">
        <v>1393</v>
      </c>
      <c r="E686" s="12">
        <v>100</v>
      </c>
      <c r="F686" s="13">
        <v>263.055</v>
      </c>
      <c r="G686" s="14">
        <v>46017</v>
      </c>
      <c r="H686" s="13">
        <v>258.71</v>
      </c>
      <c r="I686" s="15" t="s">
        <v>54</v>
      </c>
      <c r="J686" s="13">
        <v>267.4</v>
      </c>
      <c r="K686" s="17">
        <f>IF(AND(H686&gt;0,J686&gt;0),(J686-H686)/H686,"")</f>
        <v>0.033589733678636303</v>
      </c>
      <c r="L686" s="13"/>
      <c r="M686" s="16" t="str">
        <f>IF(AND(J686&gt;0,L686&gt;0),(L686-J686)/J686,IF(AND(H686&gt;0,L686&gt;0),(L686-H686)/H686,""))</f>
        <v/>
      </c>
      <c r="N686" s="14">
        <v>46021</v>
      </c>
      <c r="O686" s="13">
        <v>267.4</v>
      </c>
      <c r="P686" s="16" t="str">
        <f>IF(AND(L686&gt;0,O686&gt;0),(O686-L686)/L686,"")</f>
        <v/>
      </c>
      <c r="Q686" s="18">
        <v>4</v>
      </c>
      <c r="R686" s="18">
        <v>2</v>
      </c>
      <c r="S686" s="19">
        <f>IF(N686&gt;0,TODAY()-N686,"")</f>
        <v>90</v>
      </c>
    </row>
    <row r="687" ht="17" customHeight="1" spans="1:19" x14ac:dyDescent="0.25">
      <c r="A687" s="3" t="s">
        <v>20</v>
      </c>
      <c r="B687" s="3" t="s">
        <v>1283</v>
      </c>
      <c r="C687" s="3" t="s">
        <v>1394</v>
      </c>
      <c r="D687" s="3" t="s">
        <v>1395</v>
      </c>
      <c r="E687" s="4">
        <v>500</v>
      </c>
      <c r="F687" s="5">
        <v>4</v>
      </c>
      <c r="G687" s="6">
        <v>45769</v>
      </c>
      <c r="H687" s="5">
        <v>4</v>
      </c>
      <c r="I687" s="7" t="s">
        <v>24</v>
      </c>
      <c r="J687" s="5"/>
      <c r="K687" s="8" t="str">
        <f>IF(AND(H687&gt;0,J687&gt;0),(J687-H687)/H687,"")</f>
        <v/>
      </c>
      <c r="L687" s="5"/>
      <c r="M687" s="8" t="str">
        <f>IF(AND(J687&gt;0,L687&gt;0),(L687-J687)/J687,IF(AND(H687&gt;0,L687&gt;0),(L687-H687)/H687,""))</f>
        <v/>
      </c>
      <c r="N687" s="6">
        <v>45769</v>
      </c>
      <c r="O687" s="5">
        <v>4</v>
      </c>
      <c r="P687" s="8" t="str">
        <f>IF(AND(L687&gt;0,O687&gt;0),(O687-L687)/L687,"")</f>
        <v/>
      </c>
      <c r="Q687" s="9"/>
      <c r="R687" s="9">
        <v>1</v>
      </c>
      <c r="S687" s="10">
        <f>IF(N687&gt;0,TODAY()-N687,"")</f>
        <v>342</v>
      </c>
    </row>
    <row r="688" ht="17" customHeight="1" spans="1:19" x14ac:dyDescent="0.25">
      <c r="A688" s="11" t="s">
        <v>20</v>
      </c>
      <c r="B688" s="11" t="s">
        <v>1283</v>
      </c>
      <c r="C688" s="11" t="s">
        <v>1396</v>
      </c>
      <c r="D688" s="11" t="s">
        <v>1397</v>
      </c>
      <c r="E688" s="12">
        <v>12</v>
      </c>
      <c r="F688" s="13">
        <v>1413.14</v>
      </c>
      <c r="G688" s="14">
        <v>45888</v>
      </c>
      <c r="H688" s="13">
        <v>1413.14</v>
      </c>
      <c r="I688" s="15" t="s">
        <v>24</v>
      </c>
      <c r="J688" s="13"/>
      <c r="K688" s="16" t="str">
        <f>IF(AND(H688&gt;0,J688&gt;0),(J688-H688)/H688,"")</f>
        <v/>
      </c>
      <c r="L688" s="13"/>
      <c r="M688" s="16" t="str">
        <f>IF(AND(J688&gt;0,L688&gt;0),(L688-J688)/J688,IF(AND(H688&gt;0,L688&gt;0),(L688-H688)/H688,""))</f>
        <v/>
      </c>
      <c r="N688" s="14">
        <v>45888</v>
      </c>
      <c r="O688" s="13">
        <v>1413.14</v>
      </c>
      <c r="P688" s="16" t="str">
        <f>IF(AND(L688&gt;0,O688&gt;0),(O688-L688)/L688,"")</f>
        <v/>
      </c>
      <c r="Q688" s="18"/>
      <c r="R688" s="18">
        <v>1</v>
      </c>
      <c r="S688" s="10">
        <f>IF(N688&gt;0,TODAY()-N688,"")</f>
        <v>223</v>
      </c>
    </row>
    <row r="689" ht="17" customHeight="1" spans="1:19" x14ac:dyDescent="0.25">
      <c r="A689" s="3" t="s">
        <v>20</v>
      </c>
      <c r="B689" s="3" t="s">
        <v>1283</v>
      </c>
      <c r="C689" s="3" t="s">
        <v>1398</v>
      </c>
      <c r="D689" s="3" t="s">
        <v>1399</v>
      </c>
      <c r="E689" s="4">
        <v>21</v>
      </c>
      <c r="F689" s="5">
        <v>960.844761904762</v>
      </c>
      <c r="G689" s="6">
        <v>45818</v>
      </c>
      <c r="H689" s="5">
        <v>960.84</v>
      </c>
      <c r="I689" s="7" t="s">
        <v>24</v>
      </c>
      <c r="J689" s="5"/>
      <c r="K689" s="8" t="str">
        <f>IF(AND(H689&gt;0,J689&gt;0),(J689-H689)/H689,"")</f>
        <v/>
      </c>
      <c r="L689" s="5"/>
      <c r="M689" s="8" t="str">
        <f>IF(AND(J689&gt;0,L689&gt;0),(L689-J689)/J689,IF(AND(H689&gt;0,L689&gt;0),(L689-H689)/H689,""))</f>
        <v/>
      </c>
      <c r="N689" s="6">
        <v>45818</v>
      </c>
      <c r="O689" s="5">
        <v>960.84</v>
      </c>
      <c r="P689" s="8" t="str">
        <f>IF(AND(L689&gt;0,O689&gt;0),(O689-L689)/L689,"")</f>
        <v/>
      </c>
      <c r="Q689" s="9"/>
      <c r="R689" s="9">
        <v>1</v>
      </c>
      <c r="S689" s="10">
        <f>IF(N689&gt;0,TODAY()-N689,"")</f>
        <v>293</v>
      </c>
    </row>
    <row r="690" ht="17" customHeight="1" spans="1:19" x14ac:dyDescent="0.25">
      <c r="A690" s="11" t="s">
        <v>20</v>
      </c>
      <c r="B690" s="11" t="s">
        <v>1283</v>
      </c>
      <c r="C690" s="11" t="s">
        <v>1400</v>
      </c>
      <c r="D690" s="11" t="s">
        <v>1401</v>
      </c>
      <c r="E690" s="12">
        <v>400</v>
      </c>
      <c r="F690" s="13">
        <v>55.57629999999999</v>
      </c>
      <c r="G690" s="14">
        <v>45702</v>
      </c>
      <c r="H690" s="13">
        <v>50.24</v>
      </c>
      <c r="I690" s="15" t="s">
        <v>57</v>
      </c>
      <c r="J690" s="13">
        <v>50.24</v>
      </c>
      <c r="K690" s="17">
        <f>IF(AND(H690&gt;0,J690&gt;0),(J690-H690)/H690,"")</f>
        <v>0</v>
      </c>
      <c r="L690" s="13"/>
      <c r="M690" s="16" t="str">
        <f>IF(AND(J690&gt;0,L690&gt;0),(L690-J690)/J690,IF(AND(H690&gt;0,L690&gt;0),(L690-H690)/H690,""))</f>
        <v/>
      </c>
      <c r="N690" s="14">
        <v>46086</v>
      </c>
      <c r="O690" s="13">
        <v>70.54</v>
      </c>
      <c r="P690" s="23">
        <f>IF(AND(L690&gt;0,O690&gt;0),(O690-L690)/L690,"")</f>
        <v>0.4040605095541402</v>
      </c>
      <c r="Q690" s="18">
        <v>55</v>
      </c>
      <c r="R690" s="18">
        <v>8</v>
      </c>
      <c r="S690" s="18">
        <f>IF(N690&gt;0,TODAY()-N690,"")</f>
        <v>25</v>
      </c>
    </row>
    <row r="691" ht="17" customHeight="1" spans="1:19" x14ac:dyDescent="0.25">
      <c r="A691" s="3" t="s">
        <v>20</v>
      </c>
      <c r="B691" s="3" t="s">
        <v>1283</v>
      </c>
      <c r="C691" s="3" t="s">
        <v>1402</v>
      </c>
      <c r="D691" s="3" t="s">
        <v>1403</v>
      </c>
      <c r="E691" s="4">
        <v>630</v>
      </c>
      <c r="F691" s="5">
        <v>979.3544444444445</v>
      </c>
      <c r="G691" s="6">
        <v>45700</v>
      </c>
      <c r="H691" s="5">
        <v>820.59</v>
      </c>
      <c r="I691" s="7" t="s">
        <v>24</v>
      </c>
      <c r="J691" s="5"/>
      <c r="K691" s="8" t="str">
        <f>IF(AND(H691&gt;0,J691&gt;0),(J691-H691)/H691,"")</f>
        <v/>
      </c>
      <c r="L691" s="5"/>
      <c r="M691" s="8" t="str">
        <f>IF(AND(J691&gt;0,L691&gt;0),(L691-J691)/J691,IF(AND(H691&gt;0,L691&gt;0),(L691-H691)/H691,""))</f>
        <v/>
      </c>
      <c r="N691" s="6">
        <v>46086</v>
      </c>
      <c r="O691" s="5">
        <v>1119.96</v>
      </c>
      <c r="P691" s="23">
        <f>IF(AND(L691&gt;0,O691&gt;0),(O691-L691)/L691,"")</f>
        <v>0.36482287134866376</v>
      </c>
      <c r="Q691" s="9">
        <v>23</v>
      </c>
      <c r="R691" s="9">
        <v>18</v>
      </c>
      <c r="S691" s="9">
        <f>IF(N691&gt;0,TODAY()-N691,"")</f>
        <v>25</v>
      </c>
    </row>
    <row r="692" ht="17" customHeight="1" spans="1:19" x14ac:dyDescent="0.25">
      <c r="A692" s="11" t="s">
        <v>20</v>
      </c>
      <c r="B692" s="11" t="s">
        <v>1283</v>
      </c>
      <c r="C692" s="11" t="s">
        <v>1404</v>
      </c>
      <c r="D692" s="11" t="s">
        <v>1405</v>
      </c>
      <c r="E692" s="12">
        <v>186</v>
      </c>
      <c r="F692" s="13">
        <v>1383.0455913978494</v>
      </c>
      <c r="G692" s="14">
        <v>46021</v>
      </c>
      <c r="H692" s="13">
        <v>1388.07</v>
      </c>
      <c r="I692" s="15" t="s">
        <v>54</v>
      </c>
      <c r="J692" s="13">
        <v>1388.07</v>
      </c>
      <c r="K692" s="17">
        <f>IF(AND(H692&gt;0,J692&gt;0),(J692-H692)/H692,"")</f>
        <v>0</v>
      </c>
      <c r="L692" s="13">
        <v>1379.25</v>
      </c>
      <c r="M692" s="25">
        <f>IF(AND(J692&gt;0,L692&gt;0),(L692-J692)/J692,IF(AND(H692&gt;0,L692&gt;0),(L692-H692)/H692,""))</f>
        <v>-0.006354146404720176</v>
      </c>
      <c r="N692" s="14">
        <v>46029</v>
      </c>
      <c r="O692" s="13">
        <v>1379.25</v>
      </c>
      <c r="P692" s="16" t="str">
        <f>IF(AND(L692&gt;0,O692&gt;0),(O692-L692)/L692,"")</f>
        <v/>
      </c>
      <c r="Q692" s="18">
        <v>8</v>
      </c>
      <c r="R692" s="18">
        <v>2</v>
      </c>
      <c r="S692" s="19">
        <f>IF(N692&gt;0,TODAY()-N692,"")</f>
        <v>82</v>
      </c>
    </row>
    <row r="693" ht="17" customHeight="1" spans="1:19" x14ac:dyDescent="0.25">
      <c r="A693" s="3" t="s">
        <v>20</v>
      </c>
      <c r="B693" s="3" t="s">
        <v>1283</v>
      </c>
      <c r="C693" s="3" t="s">
        <v>1406</v>
      </c>
      <c r="D693" s="3" t="s">
        <v>1407</v>
      </c>
      <c r="E693" s="4">
        <v>65</v>
      </c>
      <c r="F693" s="5">
        <v>936.9764615384615</v>
      </c>
      <c r="G693" s="6">
        <v>45720</v>
      </c>
      <c r="H693" s="5">
        <v>814.91</v>
      </c>
      <c r="I693" s="7" t="s">
        <v>54</v>
      </c>
      <c r="J693" s="5">
        <v>1149.4</v>
      </c>
      <c r="K693" s="23">
        <f>IF(AND(H693&gt;0,J693&gt;0),(J693-H693)/H693,"")</f>
        <v>0.41046250506190884</v>
      </c>
      <c r="L693" s="5"/>
      <c r="M693" s="8" t="str">
        <f>IF(AND(J693&gt;0,L693&gt;0),(L693-J693)/J693,IF(AND(H693&gt;0,L693&gt;0),(L693-H693)/H693,""))</f>
        <v/>
      </c>
      <c r="N693" s="6">
        <v>46086</v>
      </c>
      <c r="O693" s="5">
        <v>1097.94</v>
      </c>
      <c r="P693" s="26">
        <f>IF(AND(L693&gt;0,O693&gt;0),(O693-L693)/L693,"")</f>
        <v>-0.04477118496606928</v>
      </c>
      <c r="Q693" s="9">
        <v>122</v>
      </c>
      <c r="R693" s="9">
        <v>4</v>
      </c>
      <c r="S693" s="9">
        <f>IF(N693&gt;0,TODAY()-N693,"")</f>
        <v>25</v>
      </c>
    </row>
    <row r="694" ht="17" customHeight="1" spans="1:19" x14ac:dyDescent="0.25">
      <c r="A694" s="11" t="s">
        <v>20</v>
      </c>
      <c r="B694" s="11" t="s">
        <v>1283</v>
      </c>
      <c r="C694" s="11" t="s">
        <v>1408</v>
      </c>
      <c r="D694" s="11" t="s">
        <v>1409</v>
      </c>
      <c r="E694" s="12">
        <v>444.7</v>
      </c>
      <c r="F694" s="13">
        <v>970.5071733753093</v>
      </c>
      <c r="G694" s="14">
        <v>45700</v>
      </c>
      <c r="H694" s="13">
        <v>802.24</v>
      </c>
      <c r="I694" s="15" t="s">
        <v>54</v>
      </c>
      <c r="J694" s="13">
        <v>1142.59</v>
      </c>
      <c r="K694" s="23">
        <f>IF(AND(H694&gt;0,J694&gt;0),(J694-H694)/H694,"")</f>
        <v>0.4242496011168726</v>
      </c>
      <c r="L694" s="13">
        <v>1191.34</v>
      </c>
      <c r="M694" s="17">
        <f>IF(AND(J694&gt;0,L694&gt;0),(L694-J694)/J694,IF(AND(H694&gt;0,L694&gt;0),(L694-H694)/H694,""))</f>
        <v>0.04266622322967994</v>
      </c>
      <c r="N694" s="14">
        <v>46086</v>
      </c>
      <c r="O694" s="13">
        <v>1097.56</v>
      </c>
      <c r="P694" s="25">
        <f>IF(AND(L694&gt;0,O694&gt;0),(O694-L694)/L694,"")</f>
        <v>-0.07871808215958499</v>
      </c>
      <c r="Q694" s="18">
        <v>28</v>
      </c>
      <c r="R694" s="18">
        <v>15</v>
      </c>
      <c r="S694" s="18">
        <f>IF(N694&gt;0,TODAY()-N694,"")</f>
        <v>25</v>
      </c>
    </row>
    <row r="695" ht="17" customHeight="1" spans="1:19" x14ac:dyDescent="0.25">
      <c r="A695" s="3" t="s">
        <v>20</v>
      </c>
      <c r="B695" s="3" t="s">
        <v>1283</v>
      </c>
      <c r="C695" s="3" t="s">
        <v>1410</v>
      </c>
      <c r="D695" s="3" t="s">
        <v>1411</v>
      </c>
      <c r="E695" s="4">
        <v>569.8</v>
      </c>
      <c r="F695" s="5">
        <v>986.940522990523</v>
      </c>
      <c r="G695" s="6">
        <v>45700</v>
      </c>
      <c r="H695" s="5">
        <v>802.5</v>
      </c>
      <c r="I695" s="7" t="s">
        <v>54</v>
      </c>
      <c r="J695" s="5">
        <v>1150.15</v>
      </c>
      <c r="K695" s="23">
        <f>IF(AND(H695&gt;0,J695&gt;0),(J695-H695)/H695,"")</f>
        <v>0.4332087227414331</v>
      </c>
      <c r="L695" s="5">
        <v>1199.25</v>
      </c>
      <c r="M695" s="24">
        <f>IF(AND(J695&gt;0,L695&gt;0),(L695-J695)/J695,IF(AND(H695&gt;0,L695&gt;0),(L695-H695)/H695,""))</f>
        <v>0.04269008390209964</v>
      </c>
      <c r="N695" s="6">
        <v>46086</v>
      </c>
      <c r="O695" s="5">
        <v>1097.95</v>
      </c>
      <c r="P695" s="26">
        <f>IF(AND(L695&gt;0,O695&gt;0),(O695-L695)/L695,"")</f>
        <v>-0.08446946007921614</v>
      </c>
      <c r="Q695" s="9">
        <v>26</v>
      </c>
      <c r="R695" s="9">
        <v>16</v>
      </c>
      <c r="S695" s="9">
        <f>IF(N695&gt;0,TODAY()-N695,"")</f>
        <v>25</v>
      </c>
    </row>
    <row r="696" ht="17" customHeight="1" spans="1:19" x14ac:dyDescent="0.25">
      <c r="A696" s="11" t="s">
        <v>20</v>
      </c>
      <c r="B696" s="11" t="s">
        <v>1283</v>
      </c>
      <c r="C696" s="11" t="s">
        <v>1412</v>
      </c>
      <c r="D696" s="11" t="s">
        <v>1413</v>
      </c>
      <c r="E696" s="12">
        <v>768.3</v>
      </c>
      <c r="F696" s="13">
        <v>953.6258362618769</v>
      </c>
      <c r="G696" s="14">
        <v>45700</v>
      </c>
      <c r="H696" s="13">
        <v>800.23</v>
      </c>
      <c r="I696" s="15" t="s">
        <v>24</v>
      </c>
      <c r="J696" s="13"/>
      <c r="K696" s="16" t="str">
        <f>IF(AND(H696&gt;0,J696&gt;0),(J696-H696)/H696,"")</f>
        <v/>
      </c>
      <c r="L696" s="13">
        <v>1131.94</v>
      </c>
      <c r="M696" s="23">
        <f>IF(AND(J696&gt;0,L696&gt;0),(L696-J696)/J696,IF(AND(H696&gt;0,L696&gt;0),(L696-H696)/H696,""))</f>
        <v>0.4145183259812804</v>
      </c>
      <c r="N696" s="14">
        <v>46086</v>
      </c>
      <c r="O696" s="13">
        <v>1094.68</v>
      </c>
      <c r="P696" s="25">
        <f>IF(AND(L696&gt;0,O696&gt;0),(O696-L696)/L696,"")</f>
        <v>-0.03291693906037421</v>
      </c>
      <c r="Q696" s="18">
        <v>30</v>
      </c>
      <c r="R696" s="18">
        <v>14</v>
      </c>
      <c r="S696" s="18">
        <f>IF(N696&gt;0,TODAY()-N696,"")</f>
        <v>25</v>
      </c>
    </row>
    <row r="697" ht="17" customHeight="1" spans="1:19" x14ac:dyDescent="0.25">
      <c r="A697" s="3" t="s">
        <v>20</v>
      </c>
      <c r="B697" s="3" t="s">
        <v>1283</v>
      </c>
      <c r="C697" s="3" t="s">
        <v>1414</v>
      </c>
      <c r="D697" s="3" t="s">
        <v>1415</v>
      </c>
      <c r="E697" s="4">
        <v>63</v>
      </c>
      <c r="F697" s="5">
        <v>895.2203174603175</v>
      </c>
      <c r="G697" s="6">
        <v>45750</v>
      </c>
      <c r="H697" s="5">
        <v>895.22</v>
      </c>
      <c r="I697" s="7" t="s">
        <v>24</v>
      </c>
      <c r="J697" s="5"/>
      <c r="K697" s="8" t="str">
        <f>IF(AND(H697&gt;0,J697&gt;0),(J697-H697)/H697,"")</f>
        <v/>
      </c>
      <c r="L697" s="5"/>
      <c r="M697" s="8" t="str">
        <f>IF(AND(J697&gt;0,L697&gt;0),(L697-J697)/J697,IF(AND(H697&gt;0,L697&gt;0),(L697-H697)/H697,""))</f>
        <v/>
      </c>
      <c r="N697" s="6">
        <v>45750</v>
      </c>
      <c r="O697" s="5">
        <v>895.22</v>
      </c>
      <c r="P697" s="8" t="str">
        <f>IF(AND(L697&gt;0,O697&gt;0),(O697-L697)/L697,"")</f>
        <v/>
      </c>
      <c r="Q697" s="9"/>
      <c r="R697" s="9">
        <v>1</v>
      </c>
      <c r="S697" s="10">
        <f>IF(N697&gt;0,TODAY()-N697,"")</f>
        <v>361</v>
      </c>
    </row>
    <row r="698" ht="17" customHeight="1" spans="1:19" x14ac:dyDescent="0.25">
      <c r="A698" s="11" t="s">
        <v>20</v>
      </c>
      <c r="B698" s="11" t="s">
        <v>1283</v>
      </c>
      <c r="C698" s="11" t="s">
        <v>1416</v>
      </c>
      <c r="D698" s="11" t="s">
        <v>1417</v>
      </c>
      <c r="E698" s="12">
        <v>6</v>
      </c>
      <c r="F698" s="13">
        <v>196</v>
      </c>
      <c r="G698" s="14">
        <v>45687</v>
      </c>
      <c r="H698" s="13">
        <v>196</v>
      </c>
      <c r="I698" s="15" t="s">
        <v>24</v>
      </c>
      <c r="J698" s="13"/>
      <c r="K698" s="16" t="str">
        <f>IF(AND(H698&gt;0,J698&gt;0),(J698-H698)/H698,"")</f>
        <v/>
      </c>
      <c r="L698" s="13"/>
      <c r="M698" s="16" t="str">
        <f>IF(AND(J698&gt;0,L698&gt;0),(L698-J698)/J698,IF(AND(H698&gt;0,L698&gt;0),(L698-H698)/H698,""))</f>
        <v/>
      </c>
      <c r="N698" s="14">
        <v>45793</v>
      </c>
      <c r="O698" s="13">
        <v>196</v>
      </c>
      <c r="P698" s="16" t="str">
        <f>IF(AND(L698&gt;0,O698&gt;0),(O698-L698)/L698,"")</f>
        <v/>
      </c>
      <c r="Q698" s="18">
        <v>106</v>
      </c>
      <c r="R698" s="18">
        <v>2</v>
      </c>
      <c r="S698" s="10">
        <f>IF(N698&gt;0,TODAY()-N698,"")</f>
        <v>318</v>
      </c>
    </row>
    <row r="699" ht="17" customHeight="1" spans="1:19" x14ac:dyDescent="0.25">
      <c r="A699" s="3" t="s">
        <v>20</v>
      </c>
      <c r="B699" s="3" t="s">
        <v>1283</v>
      </c>
      <c r="C699" s="3" t="s">
        <v>1418</v>
      </c>
      <c r="D699" s="3" t="s">
        <v>1419</v>
      </c>
      <c r="E699" s="4">
        <v>6</v>
      </c>
      <c r="F699" s="5">
        <v>225.7733333333333</v>
      </c>
      <c r="G699" s="6">
        <v>45687</v>
      </c>
      <c r="H699" s="5">
        <v>196</v>
      </c>
      <c r="I699" s="7" t="s">
        <v>24</v>
      </c>
      <c r="J699" s="5"/>
      <c r="K699" s="8" t="str">
        <f>IF(AND(H699&gt;0,J699&gt;0),(J699-H699)/H699,"")</f>
        <v/>
      </c>
      <c r="L699" s="5"/>
      <c r="M699" s="8" t="str">
        <f>IF(AND(J699&gt;0,L699&gt;0),(L699-J699)/J699,IF(AND(H699&gt;0,L699&gt;0),(L699-H699)/H699,""))</f>
        <v/>
      </c>
      <c r="N699" s="6">
        <v>45784</v>
      </c>
      <c r="O699" s="5">
        <v>255.55</v>
      </c>
      <c r="P699" s="8" t="str">
        <f>IF(AND(L699&gt;0,O699&gt;0),(O699-L699)/L699,"")</f>
        <v/>
      </c>
      <c r="Q699" s="9">
        <v>97</v>
      </c>
      <c r="R699" s="9">
        <v>2</v>
      </c>
      <c r="S699" s="10">
        <f>IF(N699&gt;0,TODAY()-N699,"")</f>
        <v>327</v>
      </c>
    </row>
    <row r="700" ht="17" customHeight="1" spans="1:19" x14ac:dyDescent="0.25">
      <c r="A700" s="11" t="s">
        <v>20</v>
      </c>
      <c r="B700" s="11" t="s">
        <v>1283</v>
      </c>
      <c r="C700" s="11" t="s">
        <v>1420</v>
      </c>
      <c r="D700" s="11" t="s">
        <v>1421</v>
      </c>
      <c r="E700" s="12">
        <v>4</v>
      </c>
      <c r="F700" s="13">
        <v>390.12</v>
      </c>
      <c r="G700" s="14">
        <v>45700</v>
      </c>
      <c r="H700" s="13">
        <v>390.12</v>
      </c>
      <c r="I700" s="15" t="s">
        <v>24</v>
      </c>
      <c r="J700" s="13"/>
      <c r="K700" s="16" t="str">
        <f>IF(AND(H700&gt;0,J700&gt;0),(J700-H700)/H700,"")</f>
        <v/>
      </c>
      <c r="L700" s="13"/>
      <c r="M700" s="16" t="str">
        <f>IF(AND(J700&gt;0,L700&gt;0),(L700-J700)/J700,IF(AND(H700&gt;0,L700&gt;0),(L700-H700)/H700,""))</f>
        <v/>
      </c>
      <c r="N700" s="14">
        <v>45700</v>
      </c>
      <c r="O700" s="13">
        <v>390.12</v>
      </c>
      <c r="P700" s="16" t="str">
        <f>IF(AND(L700&gt;0,O700&gt;0),(O700-L700)/L700,"")</f>
        <v/>
      </c>
      <c r="Q700" s="18"/>
      <c r="R700" s="18">
        <v>1</v>
      </c>
      <c r="S700" s="10">
        <f>IF(N700&gt;0,TODAY()-N700,"")</f>
        <v>411</v>
      </c>
    </row>
    <row r="701" ht="17" customHeight="1" spans="1:19" x14ac:dyDescent="0.25">
      <c r="A701" s="3" t="s">
        <v>20</v>
      </c>
      <c r="B701" s="3" t="s">
        <v>1283</v>
      </c>
      <c r="C701" s="3" t="s">
        <v>1422</v>
      </c>
      <c r="D701" s="3" t="s">
        <v>1423</v>
      </c>
      <c r="E701" s="4">
        <v>15.25</v>
      </c>
      <c r="F701" s="5">
        <v>416.432131147541</v>
      </c>
      <c r="G701" s="6">
        <v>45674</v>
      </c>
      <c r="H701" s="5">
        <v>382.87</v>
      </c>
      <c r="I701" s="7" t="s">
        <v>54</v>
      </c>
      <c r="J701" s="5">
        <v>400</v>
      </c>
      <c r="K701" s="24">
        <f>IF(AND(H701&gt;0,J701&gt;0),(J701-H701)/H701,"")</f>
        <v>0.04474103481599498</v>
      </c>
      <c r="L701" s="5"/>
      <c r="M701" s="8" t="str">
        <f>IF(AND(J701&gt;0,L701&gt;0),(L701-J701)/J701,IF(AND(H701&gt;0,L701&gt;0),(L701-H701)/H701,""))</f>
        <v/>
      </c>
      <c r="N701" s="6">
        <v>45999</v>
      </c>
      <c r="O701" s="5">
        <v>400</v>
      </c>
      <c r="P701" s="8" t="str">
        <f>IF(AND(L701&gt;0,O701&gt;0),(O701-L701)/L701,"")</f>
        <v/>
      </c>
      <c r="Q701" s="9">
        <v>81</v>
      </c>
      <c r="R701" s="9">
        <v>5</v>
      </c>
      <c r="S701" s="21">
        <f>IF(N701&gt;0,TODAY()-N701,"")</f>
        <v>112</v>
      </c>
    </row>
    <row r="702" ht="17" customHeight="1" spans="1:19" x14ac:dyDescent="0.25">
      <c r="A702" s="11" t="s">
        <v>20</v>
      </c>
      <c r="B702" s="11" t="s">
        <v>1283</v>
      </c>
      <c r="C702" s="11" t="s">
        <v>1424</v>
      </c>
      <c r="D702" s="11" t="s">
        <v>1425</v>
      </c>
      <c r="E702" s="12">
        <v>1</v>
      </c>
      <c r="F702" s="13">
        <v>300</v>
      </c>
      <c r="G702" s="14">
        <v>45849</v>
      </c>
      <c r="H702" s="13">
        <v>300</v>
      </c>
      <c r="I702" s="15" t="s">
        <v>24</v>
      </c>
      <c r="J702" s="13"/>
      <c r="K702" s="16" t="str">
        <f>IF(AND(H702&gt;0,J702&gt;0),(J702-H702)/H702,"")</f>
        <v/>
      </c>
      <c r="L702" s="13"/>
      <c r="M702" s="16" t="str">
        <f>IF(AND(J702&gt;0,L702&gt;0),(L702-J702)/J702,IF(AND(H702&gt;0,L702&gt;0),(L702-H702)/H702,""))</f>
        <v/>
      </c>
      <c r="N702" s="14">
        <v>45849</v>
      </c>
      <c r="O702" s="13">
        <v>300</v>
      </c>
      <c r="P702" s="16" t="str">
        <f>IF(AND(L702&gt;0,O702&gt;0),(O702-L702)/L702,"")</f>
        <v/>
      </c>
      <c r="Q702" s="18"/>
      <c r="R702" s="18">
        <v>1</v>
      </c>
      <c r="S702" s="10">
        <f>IF(N702&gt;0,TODAY()-N702,"")</f>
        <v>262</v>
      </c>
    </row>
    <row r="703" ht="17" customHeight="1" spans="1:19" x14ac:dyDescent="0.25">
      <c r="A703" s="3" t="s">
        <v>20</v>
      </c>
      <c r="B703" s="3" t="s">
        <v>1283</v>
      </c>
      <c r="C703" s="3" t="s">
        <v>1426</v>
      </c>
      <c r="D703" s="3" t="s">
        <v>1427</v>
      </c>
      <c r="E703" s="4">
        <v>1</v>
      </c>
      <c r="F703" s="5">
        <v>363.41</v>
      </c>
      <c r="G703" s="6">
        <v>45793</v>
      </c>
      <c r="H703" s="5">
        <v>363.41</v>
      </c>
      <c r="I703" s="7" t="s">
        <v>24</v>
      </c>
      <c r="J703" s="5"/>
      <c r="K703" s="8" t="str">
        <f>IF(AND(H703&gt;0,J703&gt;0),(J703-H703)/H703,"")</f>
        <v/>
      </c>
      <c r="L703" s="5"/>
      <c r="M703" s="8" t="str">
        <f>IF(AND(J703&gt;0,L703&gt;0),(L703-J703)/J703,IF(AND(H703&gt;0,L703&gt;0),(L703-H703)/H703,""))</f>
        <v/>
      </c>
      <c r="N703" s="6">
        <v>45793</v>
      </c>
      <c r="O703" s="5">
        <v>363.41</v>
      </c>
      <c r="P703" s="8" t="str">
        <f>IF(AND(L703&gt;0,O703&gt;0),(O703-L703)/L703,"")</f>
        <v/>
      </c>
      <c r="Q703" s="9"/>
      <c r="R703" s="9">
        <v>1</v>
      </c>
      <c r="S703" s="10">
        <f>IF(N703&gt;0,TODAY()-N703,"")</f>
        <v>318</v>
      </c>
    </row>
    <row r="704" ht="17" customHeight="1" spans="1:19" x14ac:dyDescent="0.25">
      <c r="A704" s="11" t="s">
        <v>20</v>
      </c>
      <c r="B704" s="11" t="s">
        <v>1283</v>
      </c>
      <c r="C704" s="11" t="s">
        <v>1428</v>
      </c>
      <c r="D704" s="11" t="s">
        <v>1429</v>
      </c>
      <c r="E704" s="12">
        <v>3</v>
      </c>
      <c r="F704" s="13">
        <v>1263.3333333333333</v>
      </c>
      <c r="G704" s="14">
        <v>45779</v>
      </c>
      <c r="H704" s="13">
        <v>1195</v>
      </c>
      <c r="I704" s="15" t="s">
        <v>24</v>
      </c>
      <c r="J704" s="13"/>
      <c r="K704" s="16" t="str">
        <f>IF(AND(H704&gt;0,J704&gt;0),(J704-H704)/H704,"")</f>
        <v/>
      </c>
      <c r="L704" s="13"/>
      <c r="M704" s="16" t="str">
        <f>IF(AND(J704&gt;0,L704&gt;0),(L704-J704)/J704,IF(AND(H704&gt;0,L704&gt;0),(L704-H704)/H704,""))</f>
        <v/>
      </c>
      <c r="N704" s="14">
        <v>45819</v>
      </c>
      <c r="O704" s="13">
        <v>1400</v>
      </c>
      <c r="P704" s="16" t="str">
        <f>IF(AND(L704&gt;0,O704&gt;0),(O704-L704)/L704,"")</f>
        <v/>
      </c>
      <c r="Q704" s="18">
        <v>40</v>
      </c>
      <c r="R704" s="18">
        <v>2</v>
      </c>
      <c r="S704" s="10">
        <f>IF(N704&gt;0,TODAY()-N704,"")</f>
        <v>292</v>
      </c>
    </row>
    <row r="705" ht="17" customHeight="1" spans="1:19" x14ac:dyDescent="0.25">
      <c r="A705" s="3" t="s">
        <v>20</v>
      </c>
      <c r="B705" s="3" t="s">
        <v>1283</v>
      </c>
      <c r="C705" s="3" t="s">
        <v>1430</v>
      </c>
      <c r="D705" s="3" t="s">
        <v>1431</v>
      </c>
      <c r="E705" s="4">
        <v>3</v>
      </c>
      <c r="F705" s="5">
        <v>2626.6666666666665</v>
      </c>
      <c r="G705" s="6">
        <v>45779</v>
      </c>
      <c r="H705" s="5">
        <v>2551</v>
      </c>
      <c r="I705" s="7" t="s">
        <v>24</v>
      </c>
      <c r="J705" s="5"/>
      <c r="K705" s="8" t="str">
        <f>IF(AND(H705&gt;0,J705&gt;0),(J705-H705)/H705,"")</f>
        <v/>
      </c>
      <c r="L705" s="5"/>
      <c r="M705" s="8" t="str">
        <f>IF(AND(J705&gt;0,L705&gt;0),(L705-J705)/J705,IF(AND(H705&gt;0,L705&gt;0),(L705-H705)/H705,""))</f>
        <v/>
      </c>
      <c r="N705" s="6">
        <v>45819</v>
      </c>
      <c r="O705" s="5">
        <v>2778</v>
      </c>
      <c r="P705" s="8" t="str">
        <f>IF(AND(L705&gt;0,O705&gt;0),(O705-L705)/L705,"")</f>
        <v/>
      </c>
      <c r="Q705" s="9">
        <v>40</v>
      </c>
      <c r="R705" s="9">
        <v>2</v>
      </c>
      <c r="S705" s="10">
        <f>IF(N705&gt;0,TODAY()-N705,"")</f>
        <v>292</v>
      </c>
    </row>
    <row r="706" ht="17" customHeight="1" spans="1:19" x14ac:dyDescent="0.25">
      <c r="A706" s="11" t="s">
        <v>20</v>
      </c>
      <c r="B706" s="11" t="s">
        <v>1283</v>
      </c>
      <c r="C706" s="11" t="s">
        <v>1432</v>
      </c>
      <c r="D706" s="11" t="s">
        <v>1433</v>
      </c>
      <c r="E706" s="12">
        <v>14</v>
      </c>
      <c r="F706" s="13">
        <v>365.1235714285714</v>
      </c>
      <c r="G706" s="14">
        <v>45735</v>
      </c>
      <c r="H706" s="13">
        <v>365.12</v>
      </c>
      <c r="I706" s="15" t="s">
        <v>24</v>
      </c>
      <c r="J706" s="13"/>
      <c r="K706" s="16" t="str">
        <f>IF(AND(H706&gt;0,J706&gt;0),(J706-H706)/H706,"")</f>
        <v/>
      </c>
      <c r="L706" s="13"/>
      <c r="M706" s="16" t="str">
        <f>IF(AND(J706&gt;0,L706&gt;0),(L706-J706)/J706,IF(AND(H706&gt;0,L706&gt;0),(L706-H706)/H706,""))</f>
        <v/>
      </c>
      <c r="N706" s="14">
        <v>45735</v>
      </c>
      <c r="O706" s="13">
        <v>365.12</v>
      </c>
      <c r="P706" s="16" t="str">
        <f>IF(AND(L706&gt;0,O706&gt;0),(O706-L706)/L706,"")</f>
        <v/>
      </c>
      <c r="Q706" s="18"/>
      <c r="R706" s="18">
        <v>1</v>
      </c>
      <c r="S706" s="10">
        <f>IF(N706&gt;0,TODAY()-N706,"")</f>
        <v>376</v>
      </c>
    </row>
    <row r="707" ht="17" customHeight="1" spans="1:19" x14ac:dyDescent="0.25">
      <c r="A707" s="3" t="s">
        <v>20</v>
      </c>
      <c r="B707" s="3" t="s">
        <v>1283</v>
      </c>
      <c r="C707" s="3" t="s">
        <v>1434</v>
      </c>
      <c r="D707" s="3" t="s">
        <v>1435</v>
      </c>
      <c r="E707" s="4">
        <v>40</v>
      </c>
      <c r="F707" s="5">
        <v>109.375</v>
      </c>
      <c r="G707" s="6">
        <v>45698</v>
      </c>
      <c r="H707" s="5">
        <v>100</v>
      </c>
      <c r="I707" s="7" t="s">
        <v>24</v>
      </c>
      <c r="J707" s="5"/>
      <c r="K707" s="8" t="str">
        <f>IF(AND(H707&gt;0,J707&gt;0),(J707-H707)/H707,"")</f>
        <v/>
      </c>
      <c r="L707" s="5"/>
      <c r="M707" s="8" t="str">
        <f>IF(AND(J707&gt;0,L707&gt;0),(L707-J707)/J707,IF(AND(H707&gt;0,L707&gt;0),(L707-H707)/H707,""))</f>
        <v/>
      </c>
      <c r="N707" s="6">
        <v>46062</v>
      </c>
      <c r="O707" s="5">
        <v>130</v>
      </c>
      <c r="P707" s="23">
        <f>IF(AND(L707&gt;0,O707&gt;0),(O707-L707)/L707,"")</f>
        <v>0.3</v>
      </c>
      <c r="Q707" s="9">
        <v>121</v>
      </c>
      <c r="R707" s="9">
        <v>4</v>
      </c>
      <c r="S707" s="9">
        <f>IF(N707&gt;0,TODAY()-N707,"")</f>
        <v>49</v>
      </c>
    </row>
    <row r="708" ht="17" customHeight="1" spans="1:19" x14ac:dyDescent="0.25">
      <c r="A708" s="11" t="s">
        <v>20</v>
      </c>
      <c r="B708" s="11" t="s">
        <v>1283</v>
      </c>
      <c r="C708" s="11" t="s">
        <v>1436</v>
      </c>
      <c r="D708" s="11" t="s">
        <v>1437</v>
      </c>
      <c r="E708" s="12">
        <v>204</v>
      </c>
      <c r="F708" s="13">
        <v>266.9037254901961</v>
      </c>
      <c r="G708" s="14">
        <v>45664</v>
      </c>
      <c r="H708" s="13">
        <v>206.32</v>
      </c>
      <c r="I708" s="15" t="s">
        <v>60</v>
      </c>
      <c r="J708" s="13">
        <v>308.01</v>
      </c>
      <c r="K708" s="23">
        <f>IF(AND(H708&gt;0,J708&gt;0),(J708-H708)/H708,"")</f>
        <v>0.49287514540519584</v>
      </c>
      <c r="L708" s="13"/>
      <c r="M708" s="16" t="str">
        <f>IF(AND(J708&gt;0,L708&gt;0),(L708-J708)/J708,IF(AND(H708&gt;0,L708&gt;0),(L708-H708)/H708,""))</f>
        <v/>
      </c>
      <c r="N708" s="14">
        <v>46063</v>
      </c>
      <c r="O708" s="13">
        <v>328.85</v>
      </c>
      <c r="P708" s="17">
        <f>IF(AND(L708&gt;0,O708&gt;0),(O708-L708)/L708,"")</f>
        <v>0.06766014090451619</v>
      </c>
      <c r="Q708" s="18">
        <v>57</v>
      </c>
      <c r="R708" s="18">
        <v>8</v>
      </c>
      <c r="S708" s="18">
        <f>IF(N708&gt;0,TODAY()-N708,"")</f>
        <v>48</v>
      </c>
    </row>
    <row r="709" ht="17" customHeight="1" spans="1:19" x14ac:dyDescent="0.25">
      <c r="A709" s="3" t="s">
        <v>20</v>
      </c>
      <c r="B709" s="3" t="s">
        <v>1283</v>
      </c>
      <c r="C709" s="3" t="s">
        <v>1438</v>
      </c>
      <c r="D709" s="3" t="s">
        <v>1439</v>
      </c>
      <c r="E709" s="4">
        <v>40</v>
      </c>
      <c r="F709" s="5">
        <v>150.41500000000002</v>
      </c>
      <c r="G709" s="6">
        <v>45775</v>
      </c>
      <c r="H709" s="5">
        <v>170</v>
      </c>
      <c r="I709" s="7" t="s">
        <v>24</v>
      </c>
      <c r="J709" s="5"/>
      <c r="K709" s="8" t="str">
        <f>IF(AND(H709&gt;0,J709&gt;0),(J709-H709)/H709,"")</f>
        <v/>
      </c>
      <c r="L709" s="5"/>
      <c r="M709" s="8" t="str">
        <f>IF(AND(J709&gt;0,L709&gt;0),(L709-J709)/J709,IF(AND(H709&gt;0,L709&gt;0),(L709-H709)/H709,""))</f>
        <v/>
      </c>
      <c r="N709" s="6">
        <v>46107</v>
      </c>
      <c r="O709" s="5">
        <v>145.83</v>
      </c>
      <c r="P709" s="26">
        <f>IF(AND(L709&gt;0,O709&gt;0),(O709-L709)/L709,"")</f>
        <v>-0.1421764705882352</v>
      </c>
      <c r="Q709" s="9">
        <v>111</v>
      </c>
      <c r="R709" s="9">
        <v>4</v>
      </c>
      <c r="S709" s="9">
        <f>IF(N709&gt;0,TODAY()-N709,"")</f>
        <v>4</v>
      </c>
    </row>
    <row r="710" ht="17" customHeight="1" spans="1:19" x14ac:dyDescent="0.25">
      <c r="A710" s="11" t="s">
        <v>20</v>
      </c>
      <c r="B710" s="11" t="s">
        <v>1283</v>
      </c>
      <c r="C710" s="11" t="s">
        <v>1440</v>
      </c>
      <c r="D710" s="11" t="s">
        <v>1441</v>
      </c>
      <c r="E710" s="12">
        <v>175</v>
      </c>
      <c r="F710" s="13">
        <v>118.558</v>
      </c>
      <c r="G710" s="14">
        <v>45826</v>
      </c>
      <c r="H710" s="13">
        <v>118.48</v>
      </c>
      <c r="I710" s="15" t="s">
        <v>24</v>
      </c>
      <c r="J710" s="13"/>
      <c r="K710" s="16" t="str">
        <f>IF(AND(H710&gt;0,J710&gt;0),(J710-H710)/H710,"")</f>
        <v/>
      </c>
      <c r="L710" s="13">
        <v>115.98</v>
      </c>
      <c r="M710" s="25">
        <f>IF(AND(J710&gt;0,L710&gt;0),(L710-J710)/J710,IF(AND(H710&gt;0,L710&gt;0),(L710-H710)/H710,""))</f>
        <v>-0.02110060769750169</v>
      </c>
      <c r="N710" s="14">
        <v>46027</v>
      </c>
      <c r="O710" s="13">
        <v>115.98</v>
      </c>
      <c r="P710" s="16" t="str">
        <f>IF(AND(L710&gt;0,O710&gt;0),(O710-L710)/L710,"")</f>
        <v/>
      </c>
      <c r="Q710" s="18">
        <v>101</v>
      </c>
      <c r="R710" s="18">
        <v>3</v>
      </c>
      <c r="S710" s="19">
        <f>IF(N710&gt;0,TODAY()-N710,"")</f>
        <v>84</v>
      </c>
    </row>
    <row r="711" ht="17" customHeight="1" spans="1:19" x14ac:dyDescent="0.25">
      <c r="A711" s="3" t="s">
        <v>20</v>
      </c>
      <c r="B711" s="3" t="s">
        <v>1283</v>
      </c>
      <c r="C711" s="3" t="s">
        <v>1442</v>
      </c>
      <c r="D711" s="3" t="s">
        <v>1443</v>
      </c>
      <c r="E711" s="4">
        <v>270</v>
      </c>
      <c r="F711" s="5">
        <v>113.61111111111111</v>
      </c>
      <c r="G711" s="6">
        <v>45695</v>
      </c>
      <c r="H711" s="5">
        <v>105</v>
      </c>
      <c r="I711" s="7" t="s">
        <v>24</v>
      </c>
      <c r="J711" s="5"/>
      <c r="K711" s="8" t="str">
        <f>IF(AND(H711&gt;0,J711&gt;0),(J711-H711)/H711,"")</f>
        <v/>
      </c>
      <c r="L711" s="5">
        <v>118.14</v>
      </c>
      <c r="M711" s="22">
        <f>IF(AND(J711&gt;0,L711&gt;0),(L711-J711)/J711,IF(AND(H711&gt;0,L711&gt;0),(L711-H711)/H711,""))</f>
        <v>0.12514285714285714</v>
      </c>
      <c r="N711" s="6">
        <v>46027</v>
      </c>
      <c r="O711" s="5">
        <v>118.14</v>
      </c>
      <c r="P711" s="8" t="str">
        <f>IF(AND(L711&gt;0,O711&gt;0),(O711-L711)/L711,"")</f>
        <v/>
      </c>
      <c r="Q711" s="9">
        <v>83</v>
      </c>
      <c r="R711" s="9">
        <v>5</v>
      </c>
      <c r="S711" s="19">
        <f>IF(N711&gt;0,TODAY()-N711,"")</f>
        <v>84</v>
      </c>
    </row>
    <row r="712" ht="17" customHeight="1" spans="1:19" x14ac:dyDescent="0.25">
      <c r="A712" s="11" t="s">
        <v>20</v>
      </c>
      <c r="B712" s="11" t="s">
        <v>1283</v>
      </c>
      <c r="C712" s="11" t="s">
        <v>1444</v>
      </c>
      <c r="D712" s="11" t="s">
        <v>1445</v>
      </c>
      <c r="E712" s="12">
        <v>5</v>
      </c>
      <c r="F712" s="13">
        <v>185</v>
      </c>
      <c r="G712" s="14">
        <v>45835</v>
      </c>
      <c r="H712" s="13">
        <v>185</v>
      </c>
      <c r="I712" s="15" t="s">
        <v>24</v>
      </c>
      <c r="J712" s="13"/>
      <c r="K712" s="16" t="str">
        <f>IF(AND(H712&gt;0,J712&gt;0),(J712-H712)/H712,"")</f>
        <v/>
      </c>
      <c r="L712" s="13"/>
      <c r="M712" s="16" t="str">
        <f>IF(AND(J712&gt;0,L712&gt;0),(L712-J712)/J712,IF(AND(H712&gt;0,L712&gt;0),(L712-H712)/H712,""))</f>
        <v/>
      </c>
      <c r="N712" s="14">
        <v>45835</v>
      </c>
      <c r="O712" s="13">
        <v>185</v>
      </c>
      <c r="P712" s="16" t="str">
        <f>IF(AND(L712&gt;0,O712&gt;0),(O712-L712)/L712,"")</f>
        <v/>
      </c>
      <c r="Q712" s="18"/>
      <c r="R712" s="18">
        <v>1</v>
      </c>
      <c r="S712" s="10">
        <f>IF(N712&gt;0,TODAY()-N712,"")</f>
        <v>276</v>
      </c>
    </row>
    <row r="713" ht="17" customHeight="1" spans="1:19" x14ac:dyDescent="0.25">
      <c r="A713" s="3" t="s">
        <v>20</v>
      </c>
      <c r="B713" s="3" t="s">
        <v>1283</v>
      </c>
      <c r="C713" s="3" t="s">
        <v>1446</v>
      </c>
      <c r="D713" s="3" t="s">
        <v>1447</v>
      </c>
      <c r="E713" s="4">
        <v>72</v>
      </c>
      <c r="F713" s="5">
        <v>1286.8699166666668</v>
      </c>
      <c r="G713" s="6">
        <v>45695</v>
      </c>
      <c r="H713" s="5">
        <v>1315</v>
      </c>
      <c r="I713" s="7" t="s">
        <v>60</v>
      </c>
      <c r="J713" s="5">
        <v>1392.38</v>
      </c>
      <c r="K713" s="24">
        <f>IF(AND(H713&gt;0,J713&gt;0),(J713-H713)/H713,"")</f>
        <v>0.05884410646387841</v>
      </c>
      <c r="L713" s="5"/>
      <c r="M713" s="8" t="str">
        <f>IF(AND(J713&gt;0,L713&gt;0),(L713-J713)/J713,IF(AND(H713&gt;0,L713&gt;0),(L713-H713)/H713,""))</f>
        <v/>
      </c>
      <c r="N713" s="6">
        <v>46084</v>
      </c>
      <c r="O713" s="5">
        <v>1622.4</v>
      </c>
      <c r="P713" s="22">
        <f>IF(AND(L713&gt;0,O713&gt;0),(O713-L713)/L713,"")</f>
        <v>0.16519915540297905</v>
      </c>
      <c r="Q713" s="9">
        <v>39</v>
      </c>
      <c r="R713" s="9">
        <v>11</v>
      </c>
      <c r="S713" s="9">
        <f>IF(N713&gt;0,TODAY()-N713,"")</f>
        <v>27</v>
      </c>
    </row>
    <row r="714" ht="17" customHeight="1" spans="1:19" x14ac:dyDescent="0.25">
      <c r="A714" s="11" t="s">
        <v>20</v>
      </c>
      <c r="B714" s="11" t="s">
        <v>1283</v>
      </c>
      <c r="C714" s="11" t="s">
        <v>1448</v>
      </c>
      <c r="D714" s="11" t="s">
        <v>1449</v>
      </c>
      <c r="E714" s="12">
        <v>35</v>
      </c>
      <c r="F714" s="13">
        <v>321.98885714285717</v>
      </c>
      <c r="G714" s="14">
        <v>45979</v>
      </c>
      <c r="H714" s="13">
        <v>321.99</v>
      </c>
      <c r="I714" s="15" t="s">
        <v>60</v>
      </c>
      <c r="J714" s="13">
        <v>321.99</v>
      </c>
      <c r="K714" s="17">
        <f>IF(AND(H714&gt;0,J714&gt;0),(J714-H714)/H714,"")</f>
        <v>0</v>
      </c>
      <c r="L714" s="13"/>
      <c r="M714" s="16" t="str">
        <f>IF(AND(J714&gt;0,L714&gt;0),(L714-J714)/J714,IF(AND(H714&gt;0,L714&gt;0),(L714-H714)/H714,""))</f>
        <v/>
      </c>
      <c r="N714" s="14">
        <v>45980</v>
      </c>
      <c r="O714" s="13">
        <v>321.99</v>
      </c>
      <c r="P714" s="16" t="str">
        <f>IF(AND(L714&gt;0,O714&gt;0),(O714-L714)/L714,"")</f>
        <v/>
      </c>
      <c r="Q714" s="18">
        <v>1</v>
      </c>
      <c r="R714" s="18">
        <v>2</v>
      </c>
      <c r="S714" s="21">
        <f>IF(N714&gt;0,TODAY()-N714,"")</f>
        <v>131</v>
      </c>
    </row>
    <row r="715" ht="17" customHeight="1" spans="1:19" x14ac:dyDescent="0.25">
      <c r="A715" s="3" t="s">
        <v>20</v>
      </c>
      <c r="B715" s="3" t="s">
        <v>1283</v>
      </c>
      <c r="C715" s="3" t="s">
        <v>1450</v>
      </c>
      <c r="D715" s="3" t="s">
        <v>1451</v>
      </c>
      <c r="E715" s="4">
        <v>60</v>
      </c>
      <c r="F715" s="5">
        <v>54.166666666666664</v>
      </c>
      <c r="G715" s="6">
        <v>46079</v>
      </c>
      <c r="H715" s="5">
        <v>54.17</v>
      </c>
      <c r="I715" s="7" t="s">
        <v>24</v>
      </c>
      <c r="J715" s="5"/>
      <c r="K715" s="8" t="str">
        <f>IF(AND(H715&gt;0,J715&gt;0),(J715-H715)/H715,"")</f>
        <v/>
      </c>
      <c r="L715" s="5"/>
      <c r="M715" s="8" t="str">
        <f>IF(AND(J715&gt;0,L715&gt;0),(L715-J715)/J715,IF(AND(H715&gt;0,L715&gt;0),(L715-H715)/H715,""))</f>
        <v/>
      </c>
      <c r="N715" s="6">
        <v>46079</v>
      </c>
      <c r="O715" s="5">
        <v>54.17</v>
      </c>
      <c r="P715" s="24">
        <f>IF(AND(L715&gt;0,O715&gt;0),(O715-L715)/L715,"")</f>
        <v>0</v>
      </c>
      <c r="Q715" s="9"/>
      <c r="R715" s="9">
        <v>1</v>
      </c>
      <c r="S715" s="9">
        <f>IF(N715&gt;0,TODAY()-N715,"")</f>
        <v>32</v>
      </c>
    </row>
    <row r="716" ht="17" customHeight="1" spans="1:19" x14ac:dyDescent="0.25">
      <c r="A716" s="11" t="s">
        <v>20</v>
      </c>
      <c r="B716" s="11" t="s">
        <v>1283</v>
      </c>
      <c r="C716" s="11" t="s">
        <v>1452</v>
      </c>
      <c r="D716" s="11" t="s">
        <v>1453</v>
      </c>
      <c r="E716" s="12">
        <v>30</v>
      </c>
      <c r="F716" s="13">
        <v>172.77</v>
      </c>
      <c r="G716" s="14">
        <v>45700</v>
      </c>
      <c r="H716" s="13">
        <v>172.77</v>
      </c>
      <c r="I716" s="15" t="s">
        <v>24</v>
      </c>
      <c r="J716" s="13"/>
      <c r="K716" s="16" t="str">
        <f>IF(AND(H716&gt;0,J716&gt;0),(J716-H716)/H716,"")</f>
        <v/>
      </c>
      <c r="L716" s="13"/>
      <c r="M716" s="16" t="str">
        <f>IF(AND(J716&gt;0,L716&gt;0),(L716-J716)/J716,IF(AND(H716&gt;0,L716&gt;0),(L716-H716)/H716,""))</f>
        <v/>
      </c>
      <c r="N716" s="14">
        <v>45700</v>
      </c>
      <c r="O716" s="13">
        <v>172.77</v>
      </c>
      <c r="P716" s="16" t="str">
        <f>IF(AND(L716&gt;0,O716&gt;0),(O716-L716)/L716,"")</f>
        <v/>
      </c>
      <c r="Q716" s="18"/>
      <c r="R716" s="18">
        <v>1</v>
      </c>
      <c r="S716" s="10">
        <f>IF(N716&gt;0,TODAY()-N716,"")</f>
        <v>411</v>
      </c>
    </row>
    <row r="717" ht="17" customHeight="1" spans="1:19" x14ac:dyDescent="0.25">
      <c r="A717" s="3" t="s">
        <v>20</v>
      </c>
      <c r="B717" s="3" t="s">
        <v>1283</v>
      </c>
      <c r="C717" s="3" t="s">
        <v>1454</v>
      </c>
      <c r="D717" s="3" t="s">
        <v>1455</v>
      </c>
      <c r="E717" s="4">
        <v>230</v>
      </c>
      <c r="F717" s="5">
        <v>81.3913043478261</v>
      </c>
      <c r="G717" s="6">
        <v>45735</v>
      </c>
      <c r="H717" s="5">
        <v>76.5</v>
      </c>
      <c r="I717" s="7" t="s">
        <v>57</v>
      </c>
      <c r="J717" s="5">
        <v>81</v>
      </c>
      <c r="K717" s="24">
        <f>IF(AND(H717&gt;0,J717&gt;0),(J717-H717)/H717,"")</f>
        <v>0.0588235294117647</v>
      </c>
      <c r="L717" s="5"/>
      <c r="M717" s="8" t="str">
        <f>IF(AND(J717&gt;0,L717&gt;0),(L717-J717)/J717,IF(AND(H717&gt;0,L717&gt;0),(L717-H717)/H717,""))</f>
        <v/>
      </c>
      <c r="N717" s="6">
        <v>46059</v>
      </c>
      <c r="O717" s="5">
        <v>90</v>
      </c>
      <c r="P717" s="22">
        <f>IF(AND(L717&gt;0,O717&gt;0),(O717-L717)/L717,"")</f>
        <v>0.1111111111111111</v>
      </c>
      <c r="Q717" s="9">
        <v>81</v>
      </c>
      <c r="R717" s="9">
        <v>5</v>
      </c>
      <c r="S717" s="9">
        <f>IF(N717&gt;0,TODAY()-N717,"")</f>
        <v>52</v>
      </c>
    </row>
    <row r="718" ht="17" customHeight="1" spans="1:19" x14ac:dyDescent="0.25">
      <c r="A718" s="11" t="s">
        <v>20</v>
      </c>
      <c r="B718" s="11" t="s">
        <v>1283</v>
      </c>
      <c r="C718" s="11" t="s">
        <v>1456</v>
      </c>
      <c r="D718" s="11" t="s">
        <v>1457</v>
      </c>
      <c r="E718" s="12">
        <v>240</v>
      </c>
      <c r="F718" s="13">
        <v>112.25</v>
      </c>
      <c r="G718" s="14">
        <v>45698</v>
      </c>
      <c r="H718" s="13">
        <v>100</v>
      </c>
      <c r="I718" s="15" t="s">
        <v>57</v>
      </c>
      <c r="J718" s="13">
        <v>120</v>
      </c>
      <c r="K718" s="20">
        <f>IF(AND(H718&gt;0,J718&gt;0),(J718-H718)/H718,"")</f>
        <v>0.2</v>
      </c>
      <c r="L718" s="13">
        <v>120</v>
      </c>
      <c r="M718" s="17">
        <f>IF(AND(J718&gt;0,L718&gt;0),(L718-J718)/J718,IF(AND(H718&gt;0,L718&gt;0),(L718-H718)/H718,""))</f>
        <v>0</v>
      </c>
      <c r="N718" s="14">
        <v>46064</v>
      </c>
      <c r="O718" s="13">
        <v>120</v>
      </c>
      <c r="P718" s="17">
        <f>IF(AND(L718&gt;0,O718&gt;0),(O718-L718)/L718,"")</f>
        <v>0</v>
      </c>
      <c r="Q718" s="18">
        <v>28</v>
      </c>
      <c r="R718" s="18">
        <v>14</v>
      </c>
      <c r="S718" s="18">
        <f>IF(N718&gt;0,TODAY()-N718,"")</f>
        <v>47</v>
      </c>
    </row>
    <row r="719" ht="17" customHeight="1" spans="1:19" x14ac:dyDescent="0.25">
      <c r="A719" s="3" t="s">
        <v>20</v>
      </c>
      <c r="B719" s="3" t="s">
        <v>1283</v>
      </c>
      <c r="C719" s="3" t="s">
        <v>1458</v>
      </c>
      <c r="D719" s="3" t="s">
        <v>1459</v>
      </c>
      <c r="E719" s="4">
        <v>585</v>
      </c>
      <c r="F719" s="5">
        <v>354.69377777777777</v>
      </c>
      <c r="G719" s="6">
        <v>45695</v>
      </c>
      <c r="H719" s="5">
        <v>272.9</v>
      </c>
      <c r="I719" s="7" t="s">
        <v>57</v>
      </c>
      <c r="J719" s="5">
        <v>380.18</v>
      </c>
      <c r="K719" s="23">
        <f>IF(AND(H719&gt;0,J719&gt;0),(J719-H719)/H719,"")</f>
        <v>0.39311102968120204</v>
      </c>
      <c r="L719" s="5"/>
      <c r="M719" s="8" t="str">
        <f>IF(AND(J719&gt;0,L719&gt;0),(L719-J719)/J719,IF(AND(H719&gt;0,L719&gt;0),(L719-H719)/H719,""))</f>
        <v/>
      </c>
      <c r="N719" s="6">
        <v>46063</v>
      </c>
      <c r="O719" s="5">
        <v>424.65</v>
      </c>
      <c r="P719" s="22">
        <f>IF(AND(L719&gt;0,O719&gt;0),(O719-L719)/L719,"")</f>
        <v>0.11697090851701818</v>
      </c>
      <c r="Q719" s="9">
        <v>74</v>
      </c>
      <c r="R719" s="9">
        <v>6</v>
      </c>
      <c r="S719" s="9">
        <f>IF(N719&gt;0,TODAY()-N719,"")</f>
        <v>48</v>
      </c>
    </row>
    <row r="720" ht="17" customHeight="1" spans="1:19" x14ac:dyDescent="0.25">
      <c r="A720" s="11" t="s">
        <v>20</v>
      </c>
      <c r="B720" s="11" t="s">
        <v>1283</v>
      </c>
      <c r="C720" s="11" t="s">
        <v>1460</v>
      </c>
      <c r="D720" s="11" t="s">
        <v>1459</v>
      </c>
      <c r="E720" s="12">
        <v>19</v>
      </c>
      <c r="F720" s="13">
        <v>281.7368421052632</v>
      </c>
      <c r="G720" s="14">
        <v>45919</v>
      </c>
      <c r="H720" s="13">
        <v>281.74</v>
      </c>
      <c r="I720" s="15" t="s">
        <v>24</v>
      </c>
      <c r="J720" s="13"/>
      <c r="K720" s="16" t="str">
        <f>IF(AND(H720&gt;0,J720&gt;0),(J720-H720)/H720,"")</f>
        <v/>
      </c>
      <c r="L720" s="13"/>
      <c r="M720" s="16" t="str">
        <f>IF(AND(J720&gt;0,L720&gt;0),(L720-J720)/J720,IF(AND(H720&gt;0,L720&gt;0),(L720-H720)/H720,""))</f>
        <v/>
      </c>
      <c r="N720" s="14">
        <v>45919</v>
      </c>
      <c r="O720" s="13">
        <v>281.74</v>
      </c>
      <c r="P720" s="16" t="str">
        <f>IF(AND(L720&gt;0,O720&gt;0),(O720-L720)/L720,"")</f>
        <v/>
      </c>
      <c r="Q720" s="18"/>
      <c r="R720" s="18">
        <v>1</v>
      </c>
      <c r="S720" s="10">
        <f>IF(N720&gt;0,TODAY()-N720,"")</f>
        <v>192</v>
      </c>
    </row>
    <row r="721" ht="17" customHeight="1" spans="1:19" x14ac:dyDescent="0.25">
      <c r="A721" s="3" t="s">
        <v>20</v>
      </c>
      <c r="B721" s="3" t="s">
        <v>1283</v>
      </c>
      <c r="C721" s="3" t="s">
        <v>1461</v>
      </c>
      <c r="D721" s="3" t="s">
        <v>1462</v>
      </c>
      <c r="E721" s="4">
        <v>10</v>
      </c>
      <c r="F721" s="5">
        <v>152.3702</v>
      </c>
      <c r="G721" s="6">
        <v>45870</v>
      </c>
      <c r="H721" s="5">
        <v>152.37</v>
      </c>
      <c r="I721" s="7" t="s">
        <v>24</v>
      </c>
      <c r="J721" s="5"/>
      <c r="K721" s="8" t="str">
        <f>IF(AND(H721&gt;0,J721&gt;0),(J721-H721)/H721,"")</f>
        <v/>
      </c>
      <c r="L721" s="5"/>
      <c r="M721" s="8" t="str">
        <f>IF(AND(J721&gt;0,L721&gt;0),(L721-J721)/J721,IF(AND(H721&gt;0,L721&gt;0),(L721-H721)/H721,""))</f>
        <v/>
      </c>
      <c r="N721" s="6">
        <v>45870</v>
      </c>
      <c r="O721" s="5">
        <v>152.37</v>
      </c>
      <c r="P721" s="8" t="str">
        <f>IF(AND(L721&gt;0,O721&gt;0),(O721-L721)/L721,"")</f>
        <v/>
      </c>
      <c r="Q721" s="9"/>
      <c r="R721" s="9">
        <v>1</v>
      </c>
      <c r="S721" s="10">
        <f>IF(N721&gt;0,TODAY()-N721,"")</f>
        <v>241</v>
      </c>
    </row>
    <row r="722" ht="17" customHeight="1" spans="1:19" x14ac:dyDescent="0.25">
      <c r="A722" s="11" t="s">
        <v>20</v>
      </c>
      <c r="B722" s="11" t="s">
        <v>1283</v>
      </c>
      <c r="C722" s="11" t="s">
        <v>1463</v>
      </c>
      <c r="D722" s="11" t="s">
        <v>1464</v>
      </c>
      <c r="E722" s="12">
        <v>267</v>
      </c>
      <c r="F722" s="13">
        <v>83.99250936329588</v>
      </c>
      <c r="G722" s="14">
        <v>45693</v>
      </c>
      <c r="H722" s="13">
        <v>74</v>
      </c>
      <c r="I722" s="15" t="s">
        <v>57</v>
      </c>
      <c r="J722" s="13">
        <v>90</v>
      </c>
      <c r="K722" s="20">
        <f>IF(AND(H722&gt;0,J722&gt;0),(J722-H722)/H722,"")</f>
        <v>0.2162162162162162</v>
      </c>
      <c r="L722" s="13">
        <v>90</v>
      </c>
      <c r="M722" s="17">
        <f>IF(AND(J722&gt;0,L722&gt;0),(L722-J722)/J722,IF(AND(H722&gt;0,L722&gt;0),(L722-H722)/H722,""))</f>
        <v>0</v>
      </c>
      <c r="N722" s="14">
        <v>46062</v>
      </c>
      <c r="O722" s="13">
        <v>100</v>
      </c>
      <c r="P722" s="20">
        <f>IF(AND(L722&gt;0,O722&gt;0),(O722-L722)/L722,"")</f>
        <v>0.1111111111111111</v>
      </c>
      <c r="Q722" s="18">
        <v>41</v>
      </c>
      <c r="R722" s="18">
        <v>10</v>
      </c>
      <c r="S722" s="18">
        <f>IF(N722&gt;0,TODAY()-N722,"")</f>
        <v>49</v>
      </c>
    </row>
    <row r="723" ht="17" customHeight="1" spans="1:19" x14ac:dyDescent="0.25">
      <c r="A723" s="3" t="s">
        <v>20</v>
      </c>
      <c r="B723" s="3" t="s">
        <v>1465</v>
      </c>
      <c r="C723" s="3" t="s">
        <v>1466</v>
      </c>
      <c r="D723" s="3" t="s">
        <v>1467</v>
      </c>
      <c r="E723" s="4">
        <v>1</v>
      </c>
      <c r="F723" s="5">
        <v>682</v>
      </c>
      <c r="G723" s="6">
        <v>46092</v>
      </c>
      <c r="H723" s="5">
        <v>682</v>
      </c>
      <c r="I723" s="7" t="s">
        <v>24</v>
      </c>
      <c r="J723" s="5"/>
      <c r="K723" s="8" t="str">
        <f>IF(AND(H723&gt;0,J723&gt;0),(J723-H723)/H723,"")</f>
        <v/>
      </c>
      <c r="L723" s="5"/>
      <c r="M723" s="8" t="str">
        <f>IF(AND(J723&gt;0,L723&gt;0),(L723-J723)/J723,IF(AND(H723&gt;0,L723&gt;0),(L723-H723)/H723,""))</f>
        <v/>
      </c>
      <c r="N723" s="6">
        <v>46092</v>
      </c>
      <c r="O723" s="5">
        <v>682</v>
      </c>
      <c r="P723" s="24">
        <f>IF(AND(L723&gt;0,O723&gt;0),(O723-L723)/L723,"")</f>
        <v>0</v>
      </c>
      <c r="Q723" s="9"/>
      <c r="R723" s="9">
        <v>1</v>
      </c>
      <c r="S723" s="9">
        <f>IF(N723&gt;0,TODAY()-N723,"")</f>
        <v>19</v>
      </c>
    </row>
    <row r="724" ht="17" customHeight="1" spans="1:19" x14ac:dyDescent="0.25">
      <c r="A724" s="11" t="s">
        <v>20</v>
      </c>
      <c r="B724" s="11" t="s">
        <v>1465</v>
      </c>
      <c r="C724" s="11" t="s">
        <v>1468</v>
      </c>
      <c r="D724" s="11" t="s">
        <v>1469</v>
      </c>
      <c r="E724" s="12">
        <v>125</v>
      </c>
      <c r="F724" s="13">
        <v>61.7824</v>
      </c>
      <c r="G724" s="14">
        <v>45692</v>
      </c>
      <c r="H724" s="13">
        <v>51</v>
      </c>
      <c r="I724" s="15" t="s">
        <v>57</v>
      </c>
      <c r="J724" s="13">
        <v>60</v>
      </c>
      <c r="K724" s="20">
        <f>IF(AND(H724&gt;0,J724&gt;0),(J724-H724)/H724,"")</f>
        <v>0.17647058823529413</v>
      </c>
      <c r="L724" s="13"/>
      <c r="M724" s="16" t="str">
        <f>IF(AND(J724&gt;0,L724&gt;0),(L724-J724)/J724,IF(AND(H724&gt;0,L724&gt;0),(L724-H724)/H724,""))</f>
        <v/>
      </c>
      <c r="N724" s="14">
        <v>46092</v>
      </c>
      <c r="O724" s="13">
        <v>82.6</v>
      </c>
      <c r="P724" s="23">
        <f>IF(AND(L724&gt;0,O724&gt;0),(O724-L724)/L724,"")</f>
        <v>0.3766666666666666</v>
      </c>
      <c r="Q724" s="18">
        <v>57</v>
      </c>
      <c r="R724" s="18">
        <v>8</v>
      </c>
      <c r="S724" s="18">
        <f>IF(N724&gt;0,TODAY()-N724,"")</f>
        <v>19</v>
      </c>
    </row>
    <row r="725" ht="17" customHeight="1" spans="1:19" x14ac:dyDescent="0.25">
      <c r="A725" s="3" t="s">
        <v>20</v>
      </c>
      <c r="B725" s="3" t="s">
        <v>1465</v>
      </c>
      <c r="C725" s="3" t="s">
        <v>1470</v>
      </c>
      <c r="D725" s="3" t="s">
        <v>1471</v>
      </c>
      <c r="E725" s="4">
        <v>80</v>
      </c>
      <c r="F725" s="5">
        <v>65.96375</v>
      </c>
      <c r="G725" s="6">
        <v>45735</v>
      </c>
      <c r="H725" s="5">
        <v>67.75</v>
      </c>
      <c r="I725" s="7" t="s">
        <v>57</v>
      </c>
      <c r="J725" s="5">
        <v>65</v>
      </c>
      <c r="K725" s="26">
        <f>IF(AND(H725&gt;0,J725&gt;0),(J725-H725)/H725,"")</f>
        <v>-0.04059040590405904</v>
      </c>
      <c r="L725" s="5"/>
      <c r="M725" s="8" t="str">
        <f>IF(AND(J725&gt;0,L725&gt;0),(L725-J725)/J725,IF(AND(H725&gt;0,L725&gt;0),(L725-H725)/H725,""))</f>
        <v/>
      </c>
      <c r="N725" s="6">
        <v>45938</v>
      </c>
      <c r="O725" s="5">
        <v>65</v>
      </c>
      <c r="P725" s="8" t="str">
        <f>IF(AND(L725&gt;0,O725&gt;0),(O725-L725)/L725,"")</f>
        <v/>
      </c>
      <c r="Q725" s="9">
        <v>51</v>
      </c>
      <c r="R725" s="9">
        <v>5</v>
      </c>
      <c r="S725" s="21">
        <f>IF(N725&gt;0,TODAY()-N725,"")</f>
        <v>173</v>
      </c>
    </row>
    <row r="726" ht="17" customHeight="1" spans="1:19" x14ac:dyDescent="0.25">
      <c r="A726" s="11" t="s">
        <v>20</v>
      </c>
      <c r="B726" s="11" t="s">
        <v>1465</v>
      </c>
      <c r="C726" s="11" t="s">
        <v>1472</v>
      </c>
      <c r="D726" s="11" t="s">
        <v>1473</v>
      </c>
      <c r="E726" s="12">
        <v>105</v>
      </c>
      <c r="F726" s="13">
        <v>58.58857142857143</v>
      </c>
      <c r="G726" s="14">
        <v>45847</v>
      </c>
      <c r="H726" s="13">
        <v>45.59</v>
      </c>
      <c r="I726" s="15" t="s">
        <v>57</v>
      </c>
      <c r="J726" s="13">
        <v>58</v>
      </c>
      <c r="K726" s="23">
        <f>IF(AND(H726&gt;0,J726&gt;0),(J726-H726)/H726,"")</f>
        <v>0.27220881772318484</v>
      </c>
      <c r="L726" s="13">
        <v>60</v>
      </c>
      <c r="M726" s="17">
        <f>IF(AND(J726&gt;0,L726&gt;0),(L726-J726)/J726,IF(AND(H726&gt;0,L726&gt;0),(L726-H726)/H726,""))</f>
        <v>0.034482758620689655</v>
      </c>
      <c r="N726" s="14">
        <v>46094</v>
      </c>
      <c r="O726" s="13">
        <v>65</v>
      </c>
      <c r="P726" s="17">
        <f>IF(AND(L726&gt;0,O726&gt;0),(O726-L726)/L726,"")</f>
        <v>0.08333333333333331</v>
      </c>
      <c r="Q726" s="18">
        <v>49</v>
      </c>
      <c r="R726" s="18">
        <v>6</v>
      </c>
      <c r="S726" s="18">
        <f>IF(N726&gt;0,TODAY()-N726,"")</f>
        <v>17</v>
      </c>
    </row>
    <row r="727" ht="17" customHeight="1" spans="1:19" x14ac:dyDescent="0.25">
      <c r="A727" s="3" t="s">
        <v>20</v>
      </c>
      <c r="B727" s="3" t="s">
        <v>1465</v>
      </c>
      <c r="C727" s="3" t="s">
        <v>1474</v>
      </c>
      <c r="D727" s="3" t="s">
        <v>1475</v>
      </c>
      <c r="E727" s="4">
        <v>4</v>
      </c>
      <c r="F727" s="5">
        <v>470</v>
      </c>
      <c r="G727" s="6">
        <v>45897</v>
      </c>
      <c r="H727" s="5">
        <v>470</v>
      </c>
      <c r="I727" s="7" t="s">
        <v>24</v>
      </c>
      <c r="J727" s="5"/>
      <c r="K727" s="8" t="str">
        <f>IF(AND(H727&gt;0,J727&gt;0),(J727-H727)/H727,"")</f>
        <v/>
      </c>
      <c r="L727" s="5"/>
      <c r="M727" s="8" t="str">
        <f>IF(AND(J727&gt;0,L727&gt;0),(L727-J727)/J727,IF(AND(H727&gt;0,L727&gt;0),(L727-H727)/H727,""))</f>
        <v/>
      </c>
      <c r="N727" s="6">
        <v>45897</v>
      </c>
      <c r="O727" s="5">
        <v>470</v>
      </c>
      <c r="P727" s="8" t="str">
        <f>IF(AND(L727&gt;0,O727&gt;0),(O727-L727)/L727,"")</f>
        <v/>
      </c>
      <c r="Q727" s="9"/>
      <c r="R727" s="9">
        <v>1</v>
      </c>
      <c r="S727" s="10">
        <f>IF(N727&gt;0,TODAY()-N727,"")</f>
        <v>214</v>
      </c>
    </row>
    <row r="728" ht="17" customHeight="1" spans="1:19" x14ac:dyDescent="0.25">
      <c r="A728" s="11" t="s">
        <v>20</v>
      </c>
      <c r="B728" s="11" t="s">
        <v>1465</v>
      </c>
      <c r="C728" s="11" t="s">
        <v>1476</v>
      </c>
      <c r="D728" s="11" t="s">
        <v>1477</v>
      </c>
      <c r="E728" s="12">
        <v>69</v>
      </c>
      <c r="F728" s="13">
        <v>1848.2608695652175</v>
      </c>
      <c r="G728" s="14">
        <v>45692</v>
      </c>
      <c r="H728" s="13">
        <v>1410</v>
      </c>
      <c r="I728" s="15" t="s">
        <v>57</v>
      </c>
      <c r="J728" s="13">
        <v>1900</v>
      </c>
      <c r="K728" s="23">
        <f>IF(AND(H728&gt;0,J728&gt;0),(J728-H728)/H728,"")</f>
        <v>0.34751773049645396</v>
      </c>
      <c r="L728" s="13">
        <v>2375</v>
      </c>
      <c r="M728" s="23">
        <f>IF(AND(J728&gt;0,L728&gt;0),(L728-J728)/J728,IF(AND(H728&gt;0,L728&gt;0),(L728-H728)/H728,""))</f>
        <v>0.25</v>
      </c>
      <c r="N728" s="14">
        <v>46050</v>
      </c>
      <c r="O728" s="13">
        <v>2375</v>
      </c>
      <c r="P728" s="16" t="str">
        <f>IF(AND(L728&gt;0,O728&gt;0),(O728-L728)/L728,"")</f>
        <v/>
      </c>
      <c r="Q728" s="18">
        <v>60</v>
      </c>
      <c r="R728" s="18">
        <v>7</v>
      </c>
      <c r="S728" s="19">
        <f>IF(N728&gt;0,TODAY()-N728,"")</f>
        <v>61</v>
      </c>
    </row>
    <row r="729" ht="17" customHeight="1" spans="1:19" x14ac:dyDescent="0.25">
      <c r="A729" s="3" t="s">
        <v>20</v>
      </c>
      <c r="B729" s="3" t="s">
        <v>1465</v>
      </c>
      <c r="C729" s="3" t="s">
        <v>1478</v>
      </c>
      <c r="D729" s="3" t="s">
        <v>1479</v>
      </c>
      <c r="E729" s="4">
        <v>1</v>
      </c>
      <c r="F729" s="5">
        <v>1480</v>
      </c>
      <c r="G729" s="6">
        <v>45894</v>
      </c>
      <c r="H729" s="5">
        <v>1480</v>
      </c>
      <c r="I729" s="7" t="s">
        <v>24</v>
      </c>
      <c r="J729" s="5"/>
      <c r="K729" s="8" t="str">
        <f>IF(AND(H729&gt;0,J729&gt;0),(J729-H729)/H729,"")</f>
        <v/>
      </c>
      <c r="L729" s="5"/>
      <c r="M729" s="8" t="str">
        <f>IF(AND(J729&gt;0,L729&gt;0),(L729-J729)/J729,IF(AND(H729&gt;0,L729&gt;0),(L729-H729)/H729,""))</f>
        <v/>
      </c>
      <c r="N729" s="6">
        <v>45894</v>
      </c>
      <c r="O729" s="5">
        <v>1480</v>
      </c>
      <c r="P729" s="8" t="str">
        <f>IF(AND(L729&gt;0,O729&gt;0),(O729-L729)/L729,"")</f>
        <v/>
      </c>
      <c r="Q729" s="9"/>
      <c r="R729" s="9">
        <v>1</v>
      </c>
      <c r="S729" s="10">
        <f>IF(N729&gt;0,TODAY()-N729,"")</f>
        <v>217</v>
      </c>
    </row>
    <row r="730" ht="17" customHeight="1" spans="1:19" x14ac:dyDescent="0.25">
      <c r="A730" s="11" t="s">
        <v>20</v>
      </c>
      <c r="B730" s="11" t="s">
        <v>1465</v>
      </c>
      <c r="C730" s="11" t="s">
        <v>1480</v>
      </c>
      <c r="D730" s="11" t="s">
        <v>1481</v>
      </c>
      <c r="E730" s="12">
        <v>18</v>
      </c>
      <c r="F730" s="13">
        <v>1424.6666666666667</v>
      </c>
      <c r="G730" s="14">
        <v>45729</v>
      </c>
      <c r="H730" s="13">
        <v>1320</v>
      </c>
      <c r="I730" s="15" t="s">
        <v>24</v>
      </c>
      <c r="J730" s="13"/>
      <c r="K730" s="16" t="str">
        <f>IF(AND(H730&gt;0,J730&gt;0),(J730-H730)/H730,"")</f>
        <v/>
      </c>
      <c r="L730" s="13"/>
      <c r="M730" s="16" t="str">
        <f>IF(AND(J730&gt;0,L730&gt;0),(L730-J730)/J730,IF(AND(H730&gt;0,L730&gt;0),(L730-H730)/H730,""))</f>
        <v/>
      </c>
      <c r="N730" s="14">
        <v>45916</v>
      </c>
      <c r="O730" s="13">
        <v>1634</v>
      </c>
      <c r="P730" s="16" t="str">
        <f>IF(AND(L730&gt;0,O730&gt;0),(O730-L730)/L730,"")</f>
        <v/>
      </c>
      <c r="Q730" s="18">
        <v>187</v>
      </c>
      <c r="R730" s="18">
        <v>2</v>
      </c>
      <c r="S730" s="10">
        <f>IF(N730&gt;0,TODAY()-N730,"")</f>
        <v>195</v>
      </c>
    </row>
    <row r="731" ht="17" customHeight="1" spans="1:19" x14ac:dyDescent="0.25">
      <c r="A731" s="3" t="s">
        <v>20</v>
      </c>
      <c r="B731" s="3" t="s">
        <v>1465</v>
      </c>
      <c r="C731" s="3" t="s">
        <v>1482</v>
      </c>
      <c r="D731" s="3" t="s">
        <v>1483</v>
      </c>
      <c r="E731" s="4">
        <v>24</v>
      </c>
      <c r="F731" s="5">
        <v>320</v>
      </c>
      <c r="G731" s="6">
        <v>46017</v>
      </c>
      <c r="H731" s="5">
        <v>320</v>
      </c>
      <c r="I731" s="7" t="s">
        <v>54</v>
      </c>
      <c r="J731" s="5">
        <v>320</v>
      </c>
      <c r="K731" s="24">
        <f>IF(AND(H731&gt;0,J731&gt;0),(J731-H731)/H731,"")</f>
        <v>0</v>
      </c>
      <c r="L731" s="5"/>
      <c r="M731" s="8" t="str">
        <f>IF(AND(J731&gt;0,L731&gt;0),(L731-J731)/J731,IF(AND(H731&gt;0,L731&gt;0),(L731-H731)/H731,""))</f>
        <v/>
      </c>
      <c r="N731" s="6">
        <v>46017</v>
      </c>
      <c r="O731" s="5">
        <v>320</v>
      </c>
      <c r="P731" s="8" t="str">
        <f>IF(AND(L731&gt;0,O731&gt;0),(O731-L731)/L731,"")</f>
        <v/>
      </c>
      <c r="Q731" s="9"/>
      <c r="R731" s="9">
        <v>1</v>
      </c>
      <c r="S731" s="21">
        <f>IF(N731&gt;0,TODAY()-N731,"")</f>
        <v>94</v>
      </c>
    </row>
    <row r="732" ht="17" customHeight="1" spans="1:19" x14ac:dyDescent="0.25">
      <c r="A732" s="11" t="s">
        <v>20</v>
      </c>
      <c r="B732" s="11" t="s">
        <v>1465</v>
      </c>
      <c r="C732" s="11" t="s">
        <v>1484</v>
      </c>
      <c r="D732" s="11" t="s">
        <v>1485</v>
      </c>
      <c r="E732" s="12">
        <v>90</v>
      </c>
      <c r="F732" s="13">
        <v>100.46666666666667</v>
      </c>
      <c r="G732" s="14">
        <v>45735</v>
      </c>
      <c r="H732" s="13">
        <v>93.2</v>
      </c>
      <c r="I732" s="15" t="s">
        <v>24</v>
      </c>
      <c r="J732" s="13"/>
      <c r="K732" s="16" t="str">
        <f>IF(AND(H732&gt;0,J732&gt;0),(J732-H732)/H732,"")</f>
        <v/>
      </c>
      <c r="L732" s="13"/>
      <c r="M732" s="16" t="str">
        <f>IF(AND(J732&gt;0,L732&gt;0),(L732-J732)/J732,IF(AND(H732&gt;0,L732&gt;0),(L732-H732)/H732,""))</f>
        <v/>
      </c>
      <c r="N732" s="14">
        <v>46064</v>
      </c>
      <c r="O732" s="13">
        <v>115</v>
      </c>
      <c r="P732" s="20">
        <f>IF(AND(L732&gt;0,O732&gt;0),(O732-L732)/L732,"")</f>
        <v>0.2339055793991416</v>
      </c>
      <c r="Q732" s="18">
        <v>329</v>
      </c>
      <c r="R732" s="18">
        <v>2</v>
      </c>
      <c r="S732" s="18">
        <f>IF(N732&gt;0,TODAY()-N732,"")</f>
        <v>47</v>
      </c>
    </row>
    <row r="733" ht="17" customHeight="1" spans="1:19" x14ac:dyDescent="0.25">
      <c r="A733" s="3" t="s">
        <v>20</v>
      </c>
      <c r="B733" s="3" t="s">
        <v>1465</v>
      </c>
      <c r="C733" s="3" t="s">
        <v>1486</v>
      </c>
      <c r="D733" s="3" t="s">
        <v>1487</v>
      </c>
      <c r="E733" s="4">
        <v>66</v>
      </c>
      <c r="F733" s="5">
        <v>144.9090909090909</v>
      </c>
      <c r="G733" s="6">
        <v>46092</v>
      </c>
      <c r="H733" s="5">
        <v>144</v>
      </c>
      <c r="I733" s="7" t="s">
        <v>24</v>
      </c>
      <c r="J733" s="5"/>
      <c r="K733" s="8" t="str">
        <f>IF(AND(H733&gt;0,J733&gt;0),(J733-H733)/H733,"")</f>
        <v/>
      </c>
      <c r="L733" s="5"/>
      <c r="M733" s="8" t="str">
        <f>IF(AND(J733&gt;0,L733&gt;0),(L733-J733)/J733,IF(AND(H733&gt;0,L733&gt;0),(L733-H733)/H733,""))</f>
        <v/>
      </c>
      <c r="N733" s="6">
        <v>46094</v>
      </c>
      <c r="O733" s="5">
        <v>145</v>
      </c>
      <c r="P733" s="24">
        <f>IF(AND(L733&gt;0,O733&gt;0),(O733-L733)/L733,"")</f>
        <v>0.006944444444444444</v>
      </c>
      <c r="Q733" s="9">
        <v>2</v>
      </c>
      <c r="R733" s="9">
        <v>2</v>
      </c>
      <c r="S733" s="9">
        <f>IF(N733&gt;0,TODAY()-N733,"")</f>
        <v>17</v>
      </c>
    </row>
    <row r="734" ht="17" customHeight="1" spans="1:19" x14ac:dyDescent="0.25">
      <c r="A734" s="11" t="s">
        <v>20</v>
      </c>
      <c r="B734" s="11" t="s">
        <v>1465</v>
      </c>
      <c r="C734" s="11" t="s">
        <v>1488</v>
      </c>
      <c r="D734" s="11" t="s">
        <v>1489</v>
      </c>
      <c r="E734" s="12">
        <v>6</v>
      </c>
      <c r="F734" s="13">
        <v>9656.730000000001</v>
      </c>
      <c r="G734" s="14">
        <v>45681</v>
      </c>
      <c r="H734" s="13">
        <v>8750</v>
      </c>
      <c r="I734" s="15" t="s">
        <v>60</v>
      </c>
      <c r="J734" s="13">
        <v>11963.73</v>
      </c>
      <c r="K734" s="23">
        <f>IF(AND(H734&gt;0,J734&gt;0),(J734-H734)/H734,"")</f>
        <v>0.36728342857142854</v>
      </c>
      <c r="L734" s="13"/>
      <c r="M734" s="16" t="str">
        <f>IF(AND(J734&gt;0,L734&gt;0),(L734-J734)/J734,IF(AND(H734&gt;0,L734&gt;0),(L734-H734)/H734,""))</f>
        <v/>
      </c>
      <c r="N734" s="14">
        <v>45987</v>
      </c>
      <c r="O734" s="13">
        <v>11963.73</v>
      </c>
      <c r="P734" s="16" t="str">
        <f>IF(AND(L734&gt;0,O734&gt;0),(O734-L734)/L734,"")</f>
        <v/>
      </c>
      <c r="Q734" s="18">
        <v>102</v>
      </c>
      <c r="R734" s="18">
        <v>4</v>
      </c>
      <c r="S734" s="21">
        <f>IF(N734&gt;0,TODAY()-N734,"")</f>
        <v>124</v>
      </c>
    </row>
    <row r="735" ht="17" customHeight="1" spans="1:19" x14ac:dyDescent="0.25">
      <c r="A735" s="3" t="s">
        <v>20</v>
      </c>
      <c r="B735" s="3" t="s">
        <v>1465</v>
      </c>
      <c r="C735" s="3" t="s">
        <v>1490</v>
      </c>
      <c r="D735" s="3" t="s">
        <v>1491</v>
      </c>
      <c r="E735" s="4">
        <v>100</v>
      </c>
      <c r="F735" s="5">
        <v>2.585</v>
      </c>
      <c r="G735" s="6">
        <v>45692</v>
      </c>
      <c r="H735" s="5">
        <v>2.58</v>
      </c>
      <c r="I735" s="7" t="s">
        <v>24</v>
      </c>
      <c r="J735" s="5"/>
      <c r="K735" s="8" t="str">
        <f>IF(AND(H735&gt;0,J735&gt;0),(J735-H735)/H735,"")</f>
        <v/>
      </c>
      <c r="L735" s="5"/>
      <c r="M735" s="8" t="str">
        <f>IF(AND(J735&gt;0,L735&gt;0),(L735-J735)/J735,IF(AND(H735&gt;0,L735&gt;0),(L735-H735)/H735,""))</f>
        <v/>
      </c>
      <c r="N735" s="6">
        <v>45692</v>
      </c>
      <c r="O735" s="5">
        <v>2.58</v>
      </c>
      <c r="P735" s="8" t="str">
        <f>IF(AND(L735&gt;0,O735&gt;0),(O735-L735)/L735,"")</f>
        <v/>
      </c>
      <c r="Q735" s="9"/>
      <c r="R735" s="9">
        <v>1</v>
      </c>
      <c r="S735" s="10">
        <f>IF(N735&gt;0,TODAY()-N735,"")</f>
        <v>419</v>
      </c>
    </row>
    <row r="736" ht="17" customHeight="1" spans="1:19" x14ac:dyDescent="0.25">
      <c r="A736" s="11" t="s">
        <v>20</v>
      </c>
      <c r="B736" s="11" t="s">
        <v>1465</v>
      </c>
      <c r="C736" s="11" t="s">
        <v>1492</v>
      </c>
      <c r="D736" s="11" t="s">
        <v>1493</v>
      </c>
      <c r="E736" s="12">
        <v>200</v>
      </c>
      <c r="F736" s="13">
        <v>5.04</v>
      </c>
      <c r="G736" s="14">
        <v>46078</v>
      </c>
      <c r="H736" s="13">
        <v>5.04</v>
      </c>
      <c r="I736" s="15" t="s">
        <v>24</v>
      </c>
      <c r="J736" s="13"/>
      <c r="K736" s="16" t="str">
        <f>IF(AND(H736&gt;0,J736&gt;0),(J736-H736)/H736,"")</f>
        <v/>
      </c>
      <c r="L736" s="13"/>
      <c r="M736" s="16" t="str">
        <f>IF(AND(J736&gt;0,L736&gt;0),(L736-J736)/J736,IF(AND(H736&gt;0,L736&gt;0),(L736-H736)/H736,""))</f>
        <v/>
      </c>
      <c r="N736" s="14">
        <v>46078</v>
      </c>
      <c r="O736" s="13">
        <v>5.04</v>
      </c>
      <c r="P736" s="17">
        <f>IF(AND(L736&gt;0,O736&gt;0),(O736-L736)/L736,"")</f>
        <v>0</v>
      </c>
      <c r="Q736" s="18"/>
      <c r="R736" s="18">
        <v>1</v>
      </c>
      <c r="S736" s="18">
        <f>IF(N736&gt;0,TODAY()-N736,"")</f>
        <v>33</v>
      </c>
    </row>
    <row r="737" ht="17" customHeight="1" spans="1:19" x14ac:dyDescent="0.25">
      <c r="A737" s="3" t="s">
        <v>20</v>
      </c>
      <c r="B737" s="3" t="s">
        <v>1465</v>
      </c>
      <c r="C737" s="3" t="s">
        <v>1494</v>
      </c>
      <c r="D737" s="3" t="s">
        <v>1495</v>
      </c>
      <c r="E737" s="4">
        <v>350</v>
      </c>
      <c r="F737" s="5">
        <v>6.557142857142857</v>
      </c>
      <c r="G737" s="6">
        <v>46038</v>
      </c>
      <c r="H737" s="5">
        <v>7.5</v>
      </c>
      <c r="I737" s="7" t="s">
        <v>24</v>
      </c>
      <c r="J737" s="5"/>
      <c r="K737" s="8" t="str">
        <f>IF(AND(H737&gt;0,J737&gt;0),(J737-H737)/H737,"")</f>
        <v/>
      </c>
      <c r="L737" s="5">
        <v>6.4</v>
      </c>
      <c r="M737" s="26">
        <f>IF(AND(J737&gt;0,L737&gt;0),(L737-J737)/J737,IF(AND(H737&gt;0,L737&gt;0),(L737-H737)/H737,""))</f>
        <v>-0.1466666666666666</v>
      </c>
      <c r="N737" s="6">
        <v>46078</v>
      </c>
      <c r="O737" s="5">
        <v>6.4</v>
      </c>
      <c r="P737" s="24">
        <f>IF(AND(L737&gt;0,O737&gt;0),(O737-L737)/L737,"")</f>
        <v>0</v>
      </c>
      <c r="Q737" s="9">
        <v>20</v>
      </c>
      <c r="R737" s="9">
        <v>3</v>
      </c>
      <c r="S737" s="9">
        <f>IF(N737&gt;0,TODAY()-N737,"")</f>
        <v>33</v>
      </c>
    </row>
    <row r="738" ht="17" customHeight="1" spans="1:19" x14ac:dyDescent="0.25">
      <c r="A738" s="11" t="s">
        <v>20</v>
      </c>
      <c r="B738" s="11" t="s">
        <v>1465</v>
      </c>
      <c r="C738" s="11" t="s">
        <v>1496</v>
      </c>
      <c r="D738" s="11" t="s">
        <v>1497</v>
      </c>
      <c r="E738" s="12">
        <v>250</v>
      </c>
      <c r="F738" s="13">
        <v>7</v>
      </c>
      <c r="G738" s="14">
        <v>45750</v>
      </c>
      <c r="H738" s="13">
        <v>7</v>
      </c>
      <c r="I738" s="15" t="s">
        <v>24</v>
      </c>
      <c r="J738" s="13"/>
      <c r="K738" s="16" t="str">
        <f>IF(AND(H738&gt;0,J738&gt;0),(J738-H738)/H738,"")</f>
        <v/>
      </c>
      <c r="L738" s="13"/>
      <c r="M738" s="16" t="str">
        <f>IF(AND(J738&gt;0,L738&gt;0),(L738-J738)/J738,IF(AND(H738&gt;0,L738&gt;0),(L738-H738)/H738,""))</f>
        <v/>
      </c>
      <c r="N738" s="14">
        <v>45750</v>
      </c>
      <c r="O738" s="13">
        <v>7</v>
      </c>
      <c r="P738" s="16" t="str">
        <f>IF(AND(L738&gt;0,O738&gt;0),(O738-L738)/L738,"")</f>
        <v/>
      </c>
      <c r="Q738" s="18"/>
      <c r="R738" s="18">
        <v>1</v>
      </c>
      <c r="S738" s="10">
        <f>IF(N738&gt;0,TODAY()-N738,"")</f>
        <v>361</v>
      </c>
    </row>
    <row r="739" ht="17" customHeight="1" spans="1:19" x14ac:dyDescent="0.25">
      <c r="A739" s="3" t="s">
        <v>20</v>
      </c>
      <c r="B739" s="3" t="s">
        <v>1465</v>
      </c>
      <c r="C739" s="3" t="s">
        <v>1498</v>
      </c>
      <c r="D739" s="3" t="s">
        <v>1499</v>
      </c>
      <c r="E739" s="4">
        <v>175</v>
      </c>
      <c r="F739" s="5">
        <v>10</v>
      </c>
      <c r="G739" s="6">
        <v>46038</v>
      </c>
      <c r="H739" s="5">
        <v>10</v>
      </c>
      <c r="I739" s="7" t="s">
        <v>24</v>
      </c>
      <c r="J739" s="5"/>
      <c r="K739" s="8" t="str">
        <f>IF(AND(H739&gt;0,J739&gt;0),(J739-H739)/H739,"")</f>
        <v/>
      </c>
      <c r="L739" s="5">
        <v>10</v>
      </c>
      <c r="M739" s="24">
        <f>IF(AND(J739&gt;0,L739&gt;0),(L739-J739)/J739,IF(AND(H739&gt;0,L739&gt;0),(L739-H739)/H739,""))</f>
        <v>0</v>
      </c>
      <c r="N739" s="6">
        <v>46064</v>
      </c>
      <c r="O739" s="5">
        <v>10</v>
      </c>
      <c r="P739" s="24">
        <f>IF(AND(L739&gt;0,O739&gt;0),(O739-L739)/L739,"")</f>
        <v>0</v>
      </c>
      <c r="Q739" s="9">
        <v>26</v>
      </c>
      <c r="R739" s="9">
        <v>2</v>
      </c>
      <c r="S739" s="9">
        <f>IF(N739&gt;0,TODAY()-N739,"")</f>
        <v>47</v>
      </c>
    </row>
    <row r="740" ht="17" customHeight="1" spans="1:19" x14ac:dyDescent="0.25">
      <c r="A740" s="11" t="s">
        <v>20</v>
      </c>
      <c r="B740" s="11" t="s">
        <v>1465</v>
      </c>
      <c r="C740" s="11" t="s">
        <v>1500</v>
      </c>
      <c r="D740" s="11" t="s">
        <v>1501</v>
      </c>
      <c r="E740" s="12">
        <v>400</v>
      </c>
      <c r="F740" s="13">
        <v>87.5</v>
      </c>
      <c r="G740" s="14">
        <v>45775</v>
      </c>
      <c r="H740" s="13">
        <v>100</v>
      </c>
      <c r="I740" s="15" t="s">
        <v>24</v>
      </c>
      <c r="J740" s="13"/>
      <c r="K740" s="16" t="str">
        <f>IF(AND(H740&gt;0,J740&gt;0),(J740-H740)/H740,"")</f>
        <v/>
      </c>
      <c r="L740" s="13"/>
      <c r="M740" s="16" t="str">
        <f>IF(AND(J740&gt;0,L740&gt;0),(L740-J740)/J740,IF(AND(H740&gt;0,L740&gt;0),(L740-H740)/H740,""))</f>
        <v/>
      </c>
      <c r="N740" s="14">
        <v>45897</v>
      </c>
      <c r="O740" s="13">
        <v>75</v>
      </c>
      <c r="P740" s="16" t="str">
        <f>IF(AND(L740&gt;0,O740&gt;0),(O740-L740)/L740,"")</f>
        <v/>
      </c>
      <c r="Q740" s="18">
        <v>122</v>
      </c>
      <c r="R740" s="18">
        <v>2</v>
      </c>
      <c r="S740" s="10">
        <f>IF(N740&gt;0,TODAY()-N740,"")</f>
        <v>214</v>
      </c>
    </row>
    <row r="741" ht="17" customHeight="1" spans="1:19" x14ac:dyDescent="0.25">
      <c r="A741" s="3" t="s">
        <v>20</v>
      </c>
      <c r="B741" s="3" t="s">
        <v>1465</v>
      </c>
      <c r="C741" s="3" t="s">
        <v>1502</v>
      </c>
      <c r="D741" s="3" t="s">
        <v>1503</v>
      </c>
      <c r="E741" s="4">
        <v>3</v>
      </c>
      <c r="F741" s="5">
        <v>1568.910432</v>
      </c>
      <c r="G741" s="6">
        <v>45876</v>
      </c>
      <c r="H741" s="5">
        <v>1535.43</v>
      </c>
      <c r="I741" s="7" t="s">
        <v>57</v>
      </c>
      <c r="J741" s="5">
        <v>1585.65</v>
      </c>
      <c r="K741" s="24">
        <f>IF(AND(H741&gt;0,J741&gt;0),(J741-H741)/H741,"")</f>
        <v>0.03270745003028469</v>
      </c>
      <c r="L741" s="5"/>
      <c r="M741" s="8" t="str">
        <f>IF(AND(J741&gt;0,L741&gt;0),(L741-J741)/J741,IF(AND(H741&gt;0,L741&gt;0),(L741-H741)/H741,""))</f>
        <v/>
      </c>
      <c r="N741" s="6">
        <v>45937</v>
      </c>
      <c r="O741" s="5">
        <v>1585.65</v>
      </c>
      <c r="P741" s="8" t="str">
        <f>IF(AND(L741&gt;0,O741&gt;0),(O741-L741)/L741,"")</f>
        <v/>
      </c>
      <c r="Q741" s="9">
        <v>61</v>
      </c>
      <c r="R741" s="9">
        <v>2</v>
      </c>
      <c r="S741" s="21">
        <f>IF(N741&gt;0,TODAY()-N741,"")</f>
        <v>174</v>
      </c>
    </row>
    <row r="742" ht="17" customHeight="1" spans="1:19" x14ac:dyDescent="0.25">
      <c r="A742" s="11" t="s">
        <v>20</v>
      </c>
      <c r="B742" s="11" t="s">
        <v>1465</v>
      </c>
      <c r="C742" s="11" t="s">
        <v>1504</v>
      </c>
      <c r="D742" s="11" t="s">
        <v>1505</v>
      </c>
      <c r="E742" s="12">
        <v>3</v>
      </c>
      <c r="F742" s="13">
        <v>268.2136706666667</v>
      </c>
      <c r="G742" s="14">
        <v>45876</v>
      </c>
      <c r="H742" s="13">
        <v>262.49</v>
      </c>
      <c r="I742" s="15" t="s">
        <v>57</v>
      </c>
      <c r="J742" s="13">
        <v>271.07</v>
      </c>
      <c r="K742" s="17">
        <f>IF(AND(H742&gt;0,J742&gt;0),(J742-H742)/H742,"")</f>
        <v>0.03268695950321911</v>
      </c>
      <c r="L742" s="13"/>
      <c r="M742" s="16" t="str">
        <f>IF(AND(J742&gt;0,L742&gt;0),(L742-J742)/J742,IF(AND(H742&gt;0,L742&gt;0),(L742-H742)/H742,""))</f>
        <v/>
      </c>
      <c r="N742" s="14">
        <v>45937</v>
      </c>
      <c r="O742" s="13">
        <v>271.07</v>
      </c>
      <c r="P742" s="16" t="str">
        <f>IF(AND(L742&gt;0,O742&gt;0),(O742-L742)/L742,"")</f>
        <v/>
      </c>
      <c r="Q742" s="18">
        <v>61</v>
      </c>
      <c r="R742" s="18">
        <v>2</v>
      </c>
      <c r="S742" s="21">
        <f>IF(N742&gt;0,TODAY()-N742,"")</f>
        <v>174</v>
      </c>
    </row>
    <row r="743" ht="17" customHeight="1" spans="1:19" x14ac:dyDescent="0.25">
      <c r="A743" s="3" t="s">
        <v>20</v>
      </c>
      <c r="B743" s="3" t="s">
        <v>1465</v>
      </c>
      <c r="C743" s="3" t="s">
        <v>1506</v>
      </c>
      <c r="D743" s="3" t="s">
        <v>1507</v>
      </c>
      <c r="E743" s="4">
        <v>3</v>
      </c>
      <c r="F743" s="5">
        <v>1568.910432</v>
      </c>
      <c r="G743" s="6">
        <v>45876</v>
      </c>
      <c r="H743" s="5">
        <v>1535.43</v>
      </c>
      <c r="I743" s="7" t="s">
        <v>57</v>
      </c>
      <c r="J743" s="5">
        <v>1585.65</v>
      </c>
      <c r="K743" s="24">
        <f>IF(AND(H743&gt;0,J743&gt;0),(J743-H743)/H743,"")</f>
        <v>0.03270745003028469</v>
      </c>
      <c r="L743" s="5"/>
      <c r="M743" s="8" t="str">
        <f>IF(AND(J743&gt;0,L743&gt;0),(L743-J743)/J743,IF(AND(H743&gt;0,L743&gt;0),(L743-H743)/H743,""))</f>
        <v/>
      </c>
      <c r="N743" s="6">
        <v>45937</v>
      </c>
      <c r="O743" s="5">
        <v>1585.65</v>
      </c>
      <c r="P743" s="8" t="str">
        <f>IF(AND(L743&gt;0,O743&gt;0),(O743-L743)/L743,"")</f>
        <v/>
      </c>
      <c r="Q743" s="9">
        <v>61</v>
      </c>
      <c r="R743" s="9">
        <v>2</v>
      </c>
      <c r="S743" s="21">
        <f>IF(N743&gt;0,TODAY()-N743,"")</f>
        <v>174</v>
      </c>
    </row>
    <row r="744" ht="17" customHeight="1" spans="1:19" x14ac:dyDescent="0.25">
      <c r="A744" s="11" t="s">
        <v>20</v>
      </c>
      <c r="B744" s="11" t="s">
        <v>1465</v>
      </c>
      <c r="C744" s="11" t="s">
        <v>1508</v>
      </c>
      <c r="D744" s="11" t="s">
        <v>1509</v>
      </c>
      <c r="E744" s="12">
        <v>3</v>
      </c>
      <c r="F744" s="13">
        <v>271.57797</v>
      </c>
      <c r="G744" s="14">
        <v>45876</v>
      </c>
      <c r="H744" s="13">
        <v>265.78</v>
      </c>
      <c r="I744" s="15" t="s">
        <v>57</v>
      </c>
      <c r="J744" s="13">
        <v>274.48</v>
      </c>
      <c r="K744" s="17">
        <f>IF(AND(H744&gt;0,J744&gt;0),(J744-H744)/H744,"")</f>
        <v>0.03273384001806023</v>
      </c>
      <c r="L744" s="13"/>
      <c r="M744" s="16" t="str">
        <f>IF(AND(J744&gt;0,L744&gt;0),(L744-J744)/J744,IF(AND(H744&gt;0,L744&gt;0),(L744-H744)/H744,""))</f>
        <v/>
      </c>
      <c r="N744" s="14">
        <v>45937</v>
      </c>
      <c r="O744" s="13">
        <v>274.48</v>
      </c>
      <c r="P744" s="16" t="str">
        <f>IF(AND(L744&gt;0,O744&gt;0),(O744-L744)/L744,"")</f>
        <v/>
      </c>
      <c r="Q744" s="18">
        <v>61</v>
      </c>
      <c r="R744" s="18">
        <v>2</v>
      </c>
      <c r="S744" s="21">
        <f>IF(N744&gt;0,TODAY()-N744,"")</f>
        <v>174</v>
      </c>
    </row>
    <row r="745" ht="17" customHeight="1" spans="1:19" x14ac:dyDescent="0.25">
      <c r="A745" s="3" t="s">
        <v>20</v>
      </c>
      <c r="B745" s="3" t="s">
        <v>1465</v>
      </c>
      <c r="C745" s="3" t="s">
        <v>1510</v>
      </c>
      <c r="D745" s="3" t="s">
        <v>1511</v>
      </c>
      <c r="E745" s="4">
        <v>3</v>
      </c>
      <c r="F745" s="5">
        <v>1610.2489666666668</v>
      </c>
      <c r="G745" s="6">
        <v>45876</v>
      </c>
      <c r="H745" s="5">
        <v>1575.89</v>
      </c>
      <c r="I745" s="7" t="s">
        <v>57</v>
      </c>
      <c r="J745" s="5">
        <v>1627.43</v>
      </c>
      <c r="K745" s="24">
        <f>IF(AND(H745&gt;0,J745&gt;0),(J745-H745)/H745,"")</f>
        <v>0.03270532841759257</v>
      </c>
      <c r="L745" s="5"/>
      <c r="M745" s="8" t="str">
        <f>IF(AND(J745&gt;0,L745&gt;0),(L745-J745)/J745,IF(AND(H745&gt;0,L745&gt;0),(L745-H745)/H745,""))</f>
        <v/>
      </c>
      <c r="N745" s="6">
        <v>45937</v>
      </c>
      <c r="O745" s="5">
        <v>1627.43</v>
      </c>
      <c r="P745" s="8" t="str">
        <f>IF(AND(L745&gt;0,O745&gt;0),(O745-L745)/L745,"")</f>
        <v/>
      </c>
      <c r="Q745" s="9">
        <v>61</v>
      </c>
      <c r="R745" s="9">
        <v>2</v>
      </c>
      <c r="S745" s="21">
        <f>IF(N745&gt;0,TODAY()-N745,"")</f>
        <v>174</v>
      </c>
    </row>
    <row r="746" ht="17" customHeight="1" spans="1:19" x14ac:dyDescent="0.25">
      <c r="A746" s="11" t="s">
        <v>20</v>
      </c>
      <c r="B746" s="11" t="s">
        <v>1465</v>
      </c>
      <c r="C746" s="11" t="s">
        <v>1512</v>
      </c>
      <c r="D746" s="11" t="s">
        <v>1513</v>
      </c>
      <c r="E746" s="12">
        <v>3</v>
      </c>
      <c r="F746" s="13">
        <v>268.2136706666667</v>
      </c>
      <c r="G746" s="14">
        <v>45876</v>
      </c>
      <c r="H746" s="13">
        <v>262.49</v>
      </c>
      <c r="I746" s="15" t="s">
        <v>57</v>
      </c>
      <c r="J746" s="13">
        <v>271.07</v>
      </c>
      <c r="K746" s="17">
        <f>IF(AND(H746&gt;0,J746&gt;0),(J746-H746)/H746,"")</f>
        <v>0.03268695950321911</v>
      </c>
      <c r="L746" s="13"/>
      <c r="M746" s="16" t="str">
        <f>IF(AND(J746&gt;0,L746&gt;0),(L746-J746)/J746,IF(AND(H746&gt;0,L746&gt;0),(L746-H746)/H746,""))</f>
        <v/>
      </c>
      <c r="N746" s="14">
        <v>45937</v>
      </c>
      <c r="O746" s="13">
        <v>271.07</v>
      </c>
      <c r="P746" s="16" t="str">
        <f>IF(AND(L746&gt;0,O746&gt;0),(O746-L746)/L746,"")</f>
        <v/>
      </c>
      <c r="Q746" s="18">
        <v>61</v>
      </c>
      <c r="R746" s="18">
        <v>2</v>
      </c>
      <c r="S746" s="21">
        <f>IF(N746&gt;0,TODAY()-N746,"")</f>
        <v>174</v>
      </c>
    </row>
    <row r="747" ht="17" customHeight="1" spans="1:19" x14ac:dyDescent="0.25">
      <c r="A747" s="3" t="s">
        <v>20</v>
      </c>
      <c r="B747" s="3" t="s">
        <v>1465</v>
      </c>
      <c r="C747" s="3" t="s">
        <v>1514</v>
      </c>
      <c r="D747" s="3" t="s">
        <v>1515</v>
      </c>
      <c r="E747" s="4">
        <v>3</v>
      </c>
      <c r="F747" s="5">
        <v>1610.2489666666668</v>
      </c>
      <c r="G747" s="6">
        <v>45876</v>
      </c>
      <c r="H747" s="5">
        <v>1575.89</v>
      </c>
      <c r="I747" s="7" t="s">
        <v>57</v>
      </c>
      <c r="J747" s="5">
        <v>1627.43</v>
      </c>
      <c r="K747" s="24">
        <f>IF(AND(H747&gt;0,J747&gt;0),(J747-H747)/H747,"")</f>
        <v>0.03270532841759257</v>
      </c>
      <c r="L747" s="5"/>
      <c r="M747" s="8" t="str">
        <f>IF(AND(J747&gt;0,L747&gt;0),(L747-J747)/J747,IF(AND(H747&gt;0,L747&gt;0),(L747-H747)/H747,""))</f>
        <v/>
      </c>
      <c r="N747" s="6">
        <v>45937</v>
      </c>
      <c r="O747" s="5">
        <v>1627.43</v>
      </c>
      <c r="P747" s="8" t="str">
        <f>IF(AND(L747&gt;0,O747&gt;0),(O747-L747)/L747,"")</f>
        <v/>
      </c>
      <c r="Q747" s="9">
        <v>61</v>
      </c>
      <c r="R747" s="9">
        <v>2</v>
      </c>
      <c r="S747" s="21">
        <f>IF(N747&gt;0,TODAY()-N747,"")</f>
        <v>174</v>
      </c>
    </row>
    <row r="748" ht="17" customHeight="1" spans="1:19" x14ac:dyDescent="0.25">
      <c r="A748" s="11" t="s">
        <v>20</v>
      </c>
      <c r="B748" s="11" t="s">
        <v>1465</v>
      </c>
      <c r="C748" s="11" t="s">
        <v>1516</v>
      </c>
      <c r="D748" s="11" t="s">
        <v>1517</v>
      </c>
      <c r="E748" s="12">
        <v>3</v>
      </c>
      <c r="F748" s="13">
        <v>271.57797</v>
      </c>
      <c r="G748" s="14">
        <v>45876</v>
      </c>
      <c r="H748" s="13">
        <v>265.78</v>
      </c>
      <c r="I748" s="15" t="s">
        <v>57</v>
      </c>
      <c r="J748" s="13">
        <v>274.48</v>
      </c>
      <c r="K748" s="17">
        <f>IF(AND(H748&gt;0,J748&gt;0),(J748-H748)/H748,"")</f>
        <v>0.03273384001806023</v>
      </c>
      <c r="L748" s="13"/>
      <c r="M748" s="16" t="str">
        <f>IF(AND(J748&gt;0,L748&gt;0),(L748-J748)/J748,IF(AND(H748&gt;0,L748&gt;0),(L748-H748)/H748,""))</f>
        <v/>
      </c>
      <c r="N748" s="14">
        <v>45937</v>
      </c>
      <c r="O748" s="13">
        <v>274.48</v>
      </c>
      <c r="P748" s="16" t="str">
        <f>IF(AND(L748&gt;0,O748&gt;0),(O748-L748)/L748,"")</f>
        <v/>
      </c>
      <c r="Q748" s="18">
        <v>61</v>
      </c>
      <c r="R748" s="18">
        <v>2</v>
      </c>
      <c r="S748" s="21">
        <f>IF(N748&gt;0,TODAY()-N748,"")</f>
        <v>174</v>
      </c>
    </row>
    <row r="749" ht="17" customHeight="1" spans="1:19" x14ac:dyDescent="0.25">
      <c r="A749" s="3" t="s">
        <v>20</v>
      </c>
      <c r="B749" s="3" t="s">
        <v>1465</v>
      </c>
      <c r="C749" s="3" t="s">
        <v>1518</v>
      </c>
      <c r="D749" s="3" t="s">
        <v>1519</v>
      </c>
      <c r="E749" s="4">
        <v>3</v>
      </c>
      <c r="F749" s="5">
        <v>325.72666666666663</v>
      </c>
      <c r="G749" s="6">
        <v>45927</v>
      </c>
      <c r="H749" s="5">
        <v>325.73</v>
      </c>
      <c r="I749" s="7" t="s">
        <v>24</v>
      </c>
      <c r="J749" s="5"/>
      <c r="K749" s="8" t="str">
        <f>IF(AND(H749&gt;0,J749&gt;0),(J749-H749)/H749,"")</f>
        <v/>
      </c>
      <c r="L749" s="5"/>
      <c r="M749" s="8" t="str">
        <f>IF(AND(J749&gt;0,L749&gt;0),(L749-J749)/J749,IF(AND(H749&gt;0,L749&gt;0),(L749-H749)/H749,""))</f>
        <v/>
      </c>
      <c r="N749" s="6">
        <v>45927</v>
      </c>
      <c r="O749" s="5">
        <v>325.73</v>
      </c>
      <c r="P749" s="8" t="str">
        <f>IF(AND(L749&gt;0,O749&gt;0),(O749-L749)/L749,"")</f>
        <v/>
      </c>
      <c r="Q749" s="9"/>
      <c r="R749" s="9">
        <v>1</v>
      </c>
      <c r="S749" s="10">
        <f>IF(N749&gt;0,TODAY()-N749,"")</f>
        <v>184</v>
      </c>
    </row>
    <row r="750" ht="17" customHeight="1" spans="1:19" x14ac:dyDescent="0.25">
      <c r="A750" s="11" t="s">
        <v>20</v>
      </c>
      <c r="B750" s="11" t="s">
        <v>1465</v>
      </c>
      <c r="C750" s="11" t="s">
        <v>1520</v>
      </c>
      <c r="D750" s="11" t="s">
        <v>1521</v>
      </c>
      <c r="E750" s="12">
        <v>4</v>
      </c>
      <c r="F750" s="13">
        <v>500</v>
      </c>
      <c r="G750" s="14">
        <v>45722</v>
      </c>
      <c r="H750" s="13">
        <v>500</v>
      </c>
      <c r="I750" s="15" t="s">
        <v>24</v>
      </c>
      <c r="J750" s="13"/>
      <c r="K750" s="16" t="str">
        <f>IF(AND(H750&gt;0,J750&gt;0),(J750-H750)/H750,"")</f>
        <v/>
      </c>
      <c r="L750" s="13"/>
      <c r="M750" s="16" t="str">
        <f>IF(AND(J750&gt;0,L750&gt;0),(L750-J750)/J750,IF(AND(H750&gt;0,L750&gt;0),(L750-H750)/H750,""))</f>
        <v/>
      </c>
      <c r="N750" s="14">
        <v>45877</v>
      </c>
      <c r="O750" s="13">
        <v>500</v>
      </c>
      <c r="P750" s="16" t="str">
        <f>IF(AND(L750&gt;0,O750&gt;0),(O750-L750)/L750,"")</f>
        <v/>
      </c>
      <c r="Q750" s="18">
        <v>155</v>
      </c>
      <c r="R750" s="18">
        <v>2</v>
      </c>
      <c r="S750" s="10">
        <f>IF(N750&gt;0,TODAY()-N750,"")</f>
        <v>234</v>
      </c>
    </row>
    <row r="751" ht="17" customHeight="1" spans="1:19" x14ac:dyDescent="0.25">
      <c r="A751" s="3" t="s">
        <v>20</v>
      </c>
      <c r="B751" s="3" t="s">
        <v>1465</v>
      </c>
      <c r="C751" s="3" t="s">
        <v>1522</v>
      </c>
      <c r="D751" s="3" t="s">
        <v>1523</v>
      </c>
      <c r="E751" s="4">
        <v>62</v>
      </c>
      <c r="F751" s="5">
        <v>8624.282419354839</v>
      </c>
      <c r="G751" s="6">
        <v>45681</v>
      </c>
      <c r="H751" s="5">
        <v>9166.67</v>
      </c>
      <c r="I751" s="7" t="s">
        <v>54</v>
      </c>
      <c r="J751" s="5">
        <v>10679.93</v>
      </c>
      <c r="K751" s="22">
        <f>IF(AND(H751&gt;0,J751&gt;0),(J751-H751)/H751,"")</f>
        <v>0.1650828490607822</v>
      </c>
      <c r="L751" s="5"/>
      <c r="M751" s="8" t="str">
        <f>IF(AND(J751&gt;0,L751&gt;0),(L751-J751)/J751,IF(AND(H751&gt;0,L751&gt;0),(L751-H751)/H751,""))</f>
        <v/>
      </c>
      <c r="N751" s="6">
        <v>46106</v>
      </c>
      <c r="O751" s="5">
        <v>10863.65</v>
      </c>
      <c r="P751" s="24">
        <f>IF(AND(L751&gt;0,O751&gt;0),(O751-L751)/L751,"")</f>
        <v>0.017202359940561348</v>
      </c>
      <c r="Q751" s="9">
        <v>61</v>
      </c>
      <c r="R751" s="9">
        <v>8</v>
      </c>
      <c r="S751" s="9">
        <f>IF(N751&gt;0,TODAY()-N751,"")</f>
        <v>5</v>
      </c>
    </row>
    <row r="752" ht="17" customHeight="1" spans="1:19" x14ac:dyDescent="0.25">
      <c r="A752" s="11" t="s">
        <v>20</v>
      </c>
      <c r="B752" s="11" t="s">
        <v>1465</v>
      </c>
      <c r="C752" s="11" t="s">
        <v>1524</v>
      </c>
      <c r="D752" s="11" t="s">
        <v>1525</v>
      </c>
      <c r="E752" s="12">
        <v>8</v>
      </c>
      <c r="F752" s="13">
        <v>51.96625</v>
      </c>
      <c r="G752" s="14">
        <v>45825</v>
      </c>
      <c r="H752" s="13">
        <v>44.94</v>
      </c>
      <c r="I752" s="15" t="s">
        <v>24</v>
      </c>
      <c r="J752" s="13"/>
      <c r="K752" s="16" t="str">
        <f>IF(AND(H752&gt;0,J752&gt;0),(J752-H752)/H752,"")</f>
        <v/>
      </c>
      <c r="L752" s="13"/>
      <c r="M752" s="16" t="str">
        <f>IF(AND(J752&gt;0,L752&gt;0),(L752-J752)/J752,IF(AND(H752&gt;0,L752&gt;0),(L752-H752)/H752,""))</f>
        <v/>
      </c>
      <c r="N752" s="14">
        <v>45834</v>
      </c>
      <c r="O752" s="13">
        <v>56.18</v>
      </c>
      <c r="P752" s="16" t="str">
        <f>IF(AND(L752&gt;0,O752&gt;0),(O752-L752)/L752,"")</f>
        <v/>
      </c>
      <c r="Q752" s="18">
        <v>9</v>
      </c>
      <c r="R752" s="18">
        <v>2</v>
      </c>
      <c r="S752" s="10">
        <f>IF(N752&gt;0,TODAY()-N752,"")</f>
        <v>277</v>
      </c>
    </row>
    <row r="753" ht="17" customHeight="1" spans="1:19" x14ac:dyDescent="0.25">
      <c r="A753" s="3" t="s">
        <v>20</v>
      </c>
      <c r="B753" s="3" t="s">
        <v>1465</v>
      </c>
      <c r="C753" s="3" t="s">
        <v>1526</v>
      </c>
      <c r="D753" s="3" t="s">
        <v>1527</v>
      </c>
      <c r="E753" s="4">
        <v>18</v>
      </c>
      <c r="F753" s="5">
        <v>486.6666666666667</v>
      </c>
      <c r="G753" s="6">
        <v>45985</v>
      </c>
      <c r="H753" s="5">
        <v>500</v>
      </c>
      <c r="I753" s="7" t="s">
        <v>60</v>
      </c>
      <c r="J753" s="5">
        <v>500</v>
      </c>
      <c r="K753" s="24">
        <f>IF(AND(H753&gt;0,J753&gt;0),(J753-H753)/H753,"")</f>
        <v>0</v>
      </c>
      <c r="L753" s="5"/>
      <c r="M753" s="8" t="str">
        <f>IF(AND(J753&gt;0,L753&gt;0),(L753-J753)/J753,IF(AND(H753&gt;0,L753&gt;0),(L753-H753)/H753,""))</f>
        <v/>
      </c>
      <c r="N753" s="6">
        <v>46064</v>
      </c>
      <c r="O753" s="5">
        <v>500</v>
      </c>
      <c r="P753" s="24">
        <f>IF(AND(L753&gt;0,O753&gt;0),(O753-L753)/L753,"")</f>
        <v>0</v>
      </c>
      <c r="Q753" s="9">
        <v>40</v>
      </c>
      <c r="R753" s="9">
        <v>3</v>
      </c>
      <c r="S753" s="9">
        <f>IF(N753&gt;0,TODAY()-N753,"")</f>
        <v>47</v>
      </c>
    </row>
    <row r="754" ht="17" customHeight="1" spans="1:19" x14ac:dyDescent="0.25">
      <c r="A754" s="11" t="s">
        <v>20</v>
      </c>
      <c r="B754" s="11" t="s">
        <v>1465</v>
      </c>
      <c r="C754" s="11" t="s">
        <v>1528</v>
      </c>
      <c r="D754" s="11" t="s">
        <v>1529</v>
      </c>
      <c r="E754" s="12">
        <v>2</v>
      </c>
      <c r="F754" s="13">
        <v>4000</v>
      </c>
      <c r="G754" s="14">
        <v>45694</v>
      </c>
      <c r="H754" s="13">
        <v>4000</v>
      </c>
      <c r="I754" s="15" t="s">
        <v>24</v>
      </c>
      <c r="J754" s="13"/>
      <c r="K754" s="16" t="str">
        <f>IF(AND(H754&gt;0,J754&gt;0),(J754-H754)/H754,"")</f>
        <v/>
      </c>
      <c r="L754" s="13"/>
      <c r="M754" s="16" t="str">
        <f>IF(AND(J754&gt;0,L754&gt;0),(L754-J754)/J754,IF(AND(H754&gt;0,L754&gt;0),(L754-H754)/H754,""))</f>
        <v/>
      </c>
      <c r="N754" s="14">
        <v>45694</v>
      </c>
      <c r="O754" s="13">
        <v>4000</v>
      </c>
      <c r="P754" s="16" t="str">
        <f>IF(AND(L754&gt;0,O754&gt;0),(O754-L754)/L754,"")</f>
        <v/>
      </c>
      <c r="Q754" s="18"/>
      <c r="R754" s="18">
        <v>1</v>
      </c>
      <c r="S754" s="10">
        <f>IF(N754&gt;0,TODAY()-N754,"")</f>
        <v>417</v>
      </c>
    </row>
    <row r="755" ht="17" customHeight="1" spans="1:19" x14ac:dyDescent="0.25">
      <c r="A755" s="3" t="s">
        <v>20</v>
      </c>
      <c r="B755" s="3" t="s">
        <v>1465</v>
      </c>
      <c r="C755" s="3" t="s">
        <v>1530</v>
      </c>
      <c r="D755" s="3" t="s">
        <v>1531</v>
      </c>
      <c r="E755" s="4">
        <v>7</v>
      </c>
      <c r="F755" s="5">
        <v>1531.2857142857142</v>
      </c>
      <c r="G755" s="6">
        <v>45799</v>
      </c>
      <c r="H755" s="5">
        <v>1458</v>
      </c>
      <c r="I755" s="7" t="s">
        <v>24</v>
      </c>
      <c r="J755" s="5"/>
      <c r="K755" s="8" t="str">
        <f>IF(AND(H755&gt;0,J755&gt;0),(J755-H755)/H755,"")</f>
        <v/>
      </c>
      <c r="L755" s="5"/>
      <c r="M755" s="8" t="str">
        <f>IF(AND(J755&gt;0,L755&gt;0),(L755-J755)/J755,IF(AND(H755&gt;0,L755&gt;0),(L755-H755)/H755,""))</f>
        <v/>
      </c>
      <c r="N755" s="6">
        <v>45883</v>
      </c>
      <c r="O755" s="5">
        <v>1625</v>
      </c>
      <c r="P755" s="8" t="str">
        <f>IF(AND(L755&gt;0,O755&gt;0),(O755-L755)/L755,"")</f>
        <v/>
      </c>
      <c r="Q755" s="9">
        <v>42</v>
      </c>
      <c r="R755" s="9">
        <v>3</v>
      </c>
      <c r="S755" s="10">
        <f>IF(N755&gt;0,TODAY()-N755,"")</f>
        <v>228</v>
      </c>
    </row>
    <row r="756" ht="17" customHeight="1" spans="1:19" x14ac:dyDescent="0.25">
      <c r="A756" s="11" t="s">
        <v>20</v>
      </c>
      <c r="B756" s="11" t="s">
        <v>1465</v>
      </c>
      <c r="C756" s="11" t="s">
        <v>1532</v>
      </c>
      <c r="D756" s="11" t="s">
        <v>1533</v>
      </c>
      <c r="E756" s="12">
        <v>59.5</v>
      </c>
      <c r="F756" s="13">
        <v>495.576974789916</v>
      </c>
      <c r="G756" s="14">
        <v>45790</v>
      </c>
      <c r="H756" s="13">
        <v>451.8</v>
      </c>
      <c r="I756" s="15" t="s">
        <v>54</v>
      </c>
      <c r="J756" s="13">
        <v>535.83</v>
      </c>
      <c r="K756" s="20">
        <f>IF(AND(H756&gt;0,J756&gt;0),(J756-H756)/H756,"")</f>
        <v>0.18598937583001335</v>
      </c>
      <c r="L756" s="13"/>
      <c r="M756" s="16" t="str">
        <f>IF(AND(J756&gt;0,L756&gt;0),(L756-J756)/J756,IF(AND(H756&gt;0,L756&gt;0),(L756-H756)/H756,""))</f>
        <v/>
      </c>
      <c r="N756" s="14">
        <v>46010</v>
      </c>
      <c r="O756" s="13">
        <v>535.83</v>
      </c>
      <c r="P756" s="16" t="str">
        <f>IF(AND(L756&gt;0,O756&gt;0),(O756-L756)/L756,"")</f>
        <v/>
      </c>
      <c r="Q756" s="18">
        <v>73</v>
      </c>
      <c r="R756" s="18">
        <v>4</v>
      </c>
      <c r="S756" s="21">
        <f>IF(N756&gt;0,TODAY()-N756,"")</f>
        <v>101</v>
      </c>
    </row>
    <row r="757" ht="17" customHeight="1" spans="1:19" x14ac:dyDescent="0.25">
      <c r="A757" s="3" t="s">
        <v>20</v>
      </c>
      <c r="B757" s="3" t="s">
        <v>1465</v>
      </c>
      <c r="C757" s="3" t="s">
        <v>1534</v>
      </c>
      <c r="D757" s="3" t="s">
        <v>1535</v>
      </c>
      <c r="E757" s="4">
        <v>45</v>
      </c>
      <c r="F757" s="5">
        <v>13135.980444444443</v>
      </c>
      <c r="G757" s="6">
        <v>45688</v>
      </c>
      <c r="H757" s="5">
        <v>5358.15</v>
      </c>
      <c r="I757" s="7" t="s">
        <v>24</v>
      </c>
      <c r="J757" s="5"/>
      <c r="K757" s="8" t="str">
        <f>IF(AND(H757&gt;0,J757&gt;0),(J757-H757)/H757,"")</f>
        <v/>
      </c>
      <c r="L757" s="5"/>
      <c r="M757" s="8" t="str">
        <f>IF(AND(J757&gt;0,L757&gt;0),(L757-J757)/J757,IF(AND(H757&gt;0,L757&gt;0),(L757-H757)/H757,""))</f>
        <v/>
      </c>
      <c r="N757" s="6">
        <v>46083</v>
      </c>
      <c r="O757" s="5">
        <v>14278.8</v>
      </c>
      <c r="P757" s="23">
        <f>IF(AND(L757&gt;0,O757&gt;0),(O757-L757)/L757,"")</f>
        <v>1.6648750034993425</v>
      </c>
      <c r="Q757" s="9">
        <v>198</v>
      </c>
      <c r="R757" s="9">
        <v>3</v>
      </c>
      <c r="S757" s="9">
        <f>IF(N757&gt;0,TODAY()-N757,"")</f>
        <v>28</v>
      </c>
    </row>
    <row r="758" ht="17" customHeight="1" spans="1:19" x14ac:dyDescent="0.25">
      <c r="A758" s="11" t="s">
        <v>20</v>
      </c>
      <c r="B758" s="11" t="s">
        <v>1465</v>
      </c>
      <c r="C758" s="11" t="s">
        <v>1536</v>
      </c>
      <c r="D758" s="11" t="s">
        <v>1537</v>
      </c>
      <c r="E758" s="12">
        <v>156</v>
      </c>
      <c r="F758" s="13">
        <v>4965.380041025642</v>
      </c>
      <c r="G758" s="14">
        <v>45688</v>
      </c>
      <c r="H758" s="13">
        <v>3536.38</v>
      </c>
      <c r="I758" s="15" t="s">
        <v>24</v>
      </c>
      <c r="J758" s="13"/>
      <c r="K758" s="16" t="str">
        <f>IF(AND(H758&gt;0,J758&gt;0),(J758-H758)/H758,"")</f>
        <v/>
      </c>
      <c r="L758" s="13"/>
      <c r="M758" s="16" t="str">
        <f>IF(AND(J758&gt;0,L758&gt;0),(L758-J758)/J758,IF(AND(H758&gt;0,L758&gt;0),(L758-H758)/H758,""))</f>
        <v/>
      </c>
      <c r="N758" s="14">
        <v>46083</v>
      </c>
      <c r="O758" s="13">
        <v>5256</v>
      </c>
      <c r="P758" s="23">
        <f>IF(AND(L758&gt;0,O758&gt;0),(O758-L758)/L758,"")</f>
        <v>0.4862656162516471</v>
      </c>
      <c r="Q758" s="18">
        <v>132</v>
      </c>
      <c r="R758" s="18">
        <v>4</v>
      </c>
      <c r="S758" s="18">
        <f>IF(N758&gt;0,TODAY()-N758,"")</f>
        <v>28</v>
      </c>
    </row>
    <row r="759" ht="17" customHeight="1" spans="1:19" x14ac:dyDescent="0.25">
      <c r="A759" s="3" t="s">
        <v>20</v>
      </c>
      <c r="B759" s="3" t="s">
        <v>1465</v>
      </c>
      <c r="C759" s="3" t="s">
        <v>1538</v>
      </c>
      <c r="D759" s="3" t="s">
        <v>1539</v>
      </c>
      <c r="E759" s="4">
        <v>4</v>
      </c>
      <c r="F759" s="5">
        <v>1250</v>
      </c>
      <c r="G759" s="6">
        <v>45733</v>
      </c>
      <c r="H759" s="5">
        <v>1250</v>
      </c>
      <c r="I759" s="7" t="s">
        <v>24</v>
      </c>
      <c r="J759" s="5"/>
      <c r="K759" s="8" t="str">
        <f>IF(AND(H759&gt;0,J759&gt;0),(J759-H759)/H759,"")</f>
        <v/>
      </c>
      <c r="L759" s="5"/>
      <c r="M759" s="8" t="str">
        <f>IF(AND(J759&gt;0,L759&gt;0),(L759-J759)/J759,IF(AND(H759&gt;0,L759&gt;0),(L759-H759)/H759,""))</f>
        <v/>
      </c>
      <c r="N759" s="6">
        <v>45733</v>
      </c>
      <c r="O759" s="5">
        <v>1250</v>
      </c>
      <c r="P759" s="8" t="str">
        <f>IF(AND(L759&gt;0,O759&gt;0),(O759-L759)/L759,"")</f>
        <v/>
      </c>
      <c r="Q759" s="9"/>
      <c r="R759" s="9">
        <v>1</v>
      </c>
      <c r="S759" s="10">
        <f>IF(N759&gt;0,TODAY()-N759,"")</f>
        <v>378</v>
      </c>
    </row>
    <row r="760" ht="17" customHeight="1" spans="1:19" x14ac:dyDescent="0.25">
      <c r="A760" s="11" t="s">
        <v>20</v>
      </c>
      <c r="B760" s="11" t="s">
        <v>1465</v>
      </c>
      <c r="C760" s="11" t="s">
        <v>1540</v>
      </c>
      <c r="D760" s="11" t="s">
        <v>1539</v>
      </c>
      <c r="E760" s="12">
        <v>12</v>
      </c>
      <c r="F760" s="13">
        <v>961.3426666666668</v>
      </c>
      <c r="G760" s="14">
        <v>45876</v>
      </c>
      <c r="H760" s="13">
        <v>940.83</v>
      </c>
      <c r="I760" s="15" t="s">
        <v>57</v>
      </c>
      <c r="J760" s="13">
        <v>971.6</v>
      </c>
      <c r="K760" s="17">
        <f>IF(AND(H760&gt;0,J760&gt;0),(J760-H760)/H760,"")</f>
        <v>0.0327051645887142</v>
      </c>
      <c r="L760" s="13"/>
      <c r="M760" s="16" t="str">
        <f>IF(AND(J760&gt;0,L760&gt;0),(L760-J760)/J760,IF(AND(H760&gt;0,L760&gt;0),(L760-H760)/H760,""))</f>
        <v/>
      </c>
      <c r="N760" s="14">
        <v>45937</v>
      </c>
      <c r="O760" s="13">
        <v>971.6</v>
      </c>
      <c r="P760" s="16" t="str">
        <f>IF(AND(L760&gt;0,O760&gt;0),(O760-L760)/L760,"")</f>
        <v/>
      </c>
      <c r="Q760" s="18">
        <v>61</v>
      </c>
      <c r="R760" s="18">
        <v>2</v>
      </c>
      <c r="S760" s="21">
        <f>IF(N760&gt;0,TODAY()-N760,"")</f>
        <v>174</v>
      </c>
    </row>
    <row r="761" ht="17" customHeight="1" spans="1:19" x14ac:dyDescent="0.25">
      <c r="A761" s="3" t="s">
        <v>20</v>
      </c>
      <c r="B761" s="3" t="s">
        <v>1465</v>
      </c>
      <c r="C761" s="3" t="s">
        <v>1541</v>
      </c>
      <c r="D761" s="3" t="s">
        <v>1542</v>
      </c>
      <c r="E761" s="4">
        <v>46</v>
      </c>
      <c r="F761" s="5">
        <v>946.4834782608696</v>
      </c>
      <c r="G761" s="6">
        <v>45785</v>
      </c>
      <c r="H761" s="5">
        <v>876.18</v>
      </c>
      <c r="I761" s="7" t="s">
        <v>24</v>
      </c>
      <c r="J761" s="5"/>
      <c r="K761" s="8" t="str">
        <f>IF(AND(H761&gt;0,J761&gt;0),(J761-H761)/H761,"")</f>
        <v/>
      </c>
      <c r="L761" s="5"/>
      <c r="M761" s="8" t="str">
        <f>IF(AND(J761&gt;0,L761&gt;0),(L761-J761)/J761,IF(AND(H761&gt;0,L761&gt;0),(L761-H761)/H761,""))</f>
        <v/>
      </c>
      <c r="N761" s="6">
        <v>45917</v>
      </c>
      <c r="O761" s="5">
        <v>973.23</v>
      </c>
      <c r="P761" s="8" t="str">
        <f>IF(AND(L761&gt;0,O761&gt;0),(O761-L761)/L761,"")</f>
        <v/>
      </c>
      <c r="Q761" s="9">
        <v>66</v>
      </c>
      <c r="R761" s="9">
        <v>3</v>
      </c>
      <c r="S761" s="10">
        <f>IF(N761&gt;0,TODAY()-N761,"")</f>
        <v>194</v>
      </c>
    </row>
    <row r="762" ht="17" customHeight="1" spans="1:19" x14ac:dyDescent="0.25">
      <c r="A762" s="11" t="s">
        <v>20</v>
      </c>
      <c r="B762" s="11" t="s">
        <v>1465</v>
      </c>
      <c r="C762" s="11" t="s">
        <v>1543</v>
      </c>
      <c r="D762" s="11" t="s">
        <v>1544</v>
      </c>
      <c r="E762" s="12">
        <v>46</v>
      </c>
      <c r="F762" s="13">
        <v>946.0102547826087</v>
      </c>
      <c r="G762" s="14">
        <v>45785</v>
      </c>
      <c r="H762" s="13">
        <v>875.74</v>
      </c>
      <c r="I762" s="15" t="s">
        <v>24</v>
      </c>
      <c r="J762" s="13"/>
      <c r="K762" s="16" t="str">
        <f>IF(AND(H762&gt;0,J762&gt;0),(J762-H762)/H762,"")</f>
        <v/>
      </c>
      <c r="L762" s="13"/>
      <c r="M762" s="16" t="str">
        <f>IF(AND(J762&gt;0,L762&gt;0),(L762-J762)/J762,IF(AND(H762&gt;0,L762&gt;0),(L762-H762)/H762,""))</f>
        <v/>
      </c>
      <c r="N762" s="14">
        <v>45917</v>
      </c>
      <c r="O762" s="13">
        <v>972.74</v>
      </c>
      <c r="P762" s="16" t="str">
        <f>IF(AND(L762&gt;0,O762&gt;0),(O762-L762)/L762,"")</f>
        <v/>
      </c>
      <c r="Q762" s="18">
        <v>66</v>
      </c>
      <c r="R762" s="18">
        <v>3</v>
      </c>
      <c r="S762" s="10">
        <f>IF(N762&gt;0,TODAY()-N762,"")</f>
        <v>194</v>
      </c>
    </row>
    <row r="763" ht="17" customHeight="1" spans="1:19" x14ac:dyDescent="0.25">
      <c r="A763" s="3" t="s">
        <v>20</v>
      </c>
      <c r="B763" s="3" t="s">
        <v>1465</v>
      </c>
      <c r="C763" s="3" t="s">
        <v>1545</v>
      </c>
      <c r="D763" s="3" t="s">
        <v>1546</v>
      </c>
      <c r="E763" s="4">
        <v>6</v>
      </c>
      <c r="F763" s="5">
        <v>2000</v>
      </c>
      <c r="G763" s="6">
        <v>45733</v>
      </c>
      <c r="H763" s="5">
        <v>2000</v>
      </c>
      <c r="I763" s="7" t="s">
        <v>24</v>
      </c>
      <c r="J763" s="5"/>
      <c r="K763" s="8" t="str">
        <f>IF(AND(H763&gt;0,J763&gt;0),(J763-H763)/H763,"")</f>
        <v/>
      </c>
      <c r="L763" s="5"/>
      <c r="M763" s="8" t="str">
        <f>IF(AND(J763&gt;0,L763&gt;0),(L763-J763)/J763,IF(AND(H763&gt;0,L763&gt;0),(L763-H763)/H763,""))</f>
        <v/>
      </c>
      <c r="N763" s="6">
        <v>45733</v>
      </c>
      <c r="O763" s="5">
        <v>2000</v>
      </c>
      <c r="P763" s="8" t="str">
        <f>IF(AND(L763&gt;0,O763&gt;0),(O763-L763)/L763,"")</f>
        <v/>
      </c>
      <c r="Q763" s="9"/>
      <c r="R763" s="9">
        <v>1</v>
      </c>
      <c r="S763" s="10">
        <f>IF(N763&gt;0,TODAY()-N763,"")</f>
        <v>378</v>
      </c>
    </row>
    <row r="764" ht="17" customHeight="1" spans="1:19" x14ac:dyDescent="0.25">
      <c r="A764" s="11" t="s">
        <v>20</v>
      </c>
      <c r="B764" s="11" t="s">
        <v>1465</v>
      </c>
      <c r="C764" s="11" t="s">
        <v>1547</v>
      </c>
      <c r="D764" s="11" t="s">
        <v>1548</v>
      </c>
      <c r="E764" s="12">
        <v>6</v>
      </c>
      <c r="F764" s="13">
        <v>2000</v>
      </c>
      <c r="G764" s="14">
        <v>45733</v>
      </c>
      <c r="H764" s="13">
        <v>2000</v>
      </c>
      <c r="I764" s="15" t="s">
        <v>24</v>
      </c>
      <c r="J764" s="13"/>
      <c r="K764" s="16" t="str">
        <f>IF(AND(H764&gt;0,J764&gt;0),(J764-H764)/H764,"")</f>
        <v/>
      </c>
      <c r="L764" s="13"/>
      <c r="M764" s="16" t="str">
        <f>IF(AND(J764&gt;0,L764&gt;0),(L764-J764)/J764,IF(AND(H764&gt;0,L764&gt;0),(L764-H764)/H764,""))</f>
        <v/>
      </c>
      <c r="N764" s="14">
        <v>45733</v>
      </c>
      <c r="O764" s="13">
        <v>2000</v>
      </c>
      <c r="P764" s="16" t="str">
        <f>IF(AND(L764&gt;0,O764&gt;0),(O764-L764)/L764,"")</f>
        <v/>
      </c>
      <c r="Q764" s="18"/>
      <c r="R764" s="18">
        <v>1</v>
      </c>
      <c r="S764" s="10">
        <f>IF(N764&gt;0,TODAY()-N764,"")</f>
        <v>378</v>
      </c>
    </row>
    <row r="765" ht="17" customHeight="1" spans="1:19" x14ac:dyDescent="0.25">
      <c r="A765" s="3" t="s">
        <v>20</v>
      </c>
      <c r="B765" s="3" t="s">
        <v>1465</v>
      </c>
      <c r="C765" s="3" t="s">
        <v>1549</v>
      </c>
      <c r="D765" s="3" t="s">
        <v>1550</v>
      </c>
      <c r="E765" s="4">
        <v>71</v>
      </c>
      <c r="F765" s="5">
        <v>4802.983943661971</v>
      </c>
      <c r="G765" s="6">
        <v>45714</v>
      </c>
      <c r="H765" s="5">
        <v>4331.25</v>
      </c>
      <c r="I765" s="7" t="s">
        <v>57</v>
      </c>
      <c r="J765" s="5">
        <v>5505.39</v>
      </c>
      <c r="K765" s="23">
        <f>IF(AND(H765&gt;0,J765&gt;0),(J765-H765)/H765,"")</f>
        <v>0.2710857142857144</v>
      </c>
      <c r="L765" s="5"/>
      <c r="M765" s="8" t="str">
        <f>IF(AND(J765&gt;0,L765&gt;0),(L765-J765)/J765,IF(AND(H765&gt;0,L765&gt;0),(L765-H765)/H765,""))</f>
        <v/>
      </c>
      <c r="N765" s="6">
        <v>45944</v>
      </c>
      <c r="O765" s="5">
        <v>5505.39</v>
      </c>
      <c r="P765" s="8" t="str">
        <f>IF(AND(L765&gt;0,O765&gt;0),(O765-L765)/L765,"")</f>
        <v/>
      </c>
      <c r="Q765" s="9">
        <v>21</v>
      </c>
      <c r="R765" s="9">
        <v>12</v>
      </c>
      <c r="S765" s="21">
        <f>IF(N765&gt;0,TODAY()-N765,"")</f>
        <v>167</v>
      </c>
    </row>
    <row r="766" ht="17" customHeight="1" spans="1:19" x14ac:dyDescent="0.25">
      <c r="A766" s="11" t="s">
        <v>20</v>
      </c>
      <c r="B766" s="11" t="s">
        <v>1465</v>
      </c>
      <c r="C766" s="11" t="s">
        <v>1551</v>
      </c>
      <c r="D766" s="11" t="s">
        <v>1552</v>
      </c>
      <c r="E766" s="12">
        <v>35</v>
      </c>
      <c r="F766" s="13">
        <v>3079.092857142857</v>
      </c>
      <c r="G766" s="14">
        <v>45932</v>
      </c>
      <c r="H766" s="13">
        <v>3137.81</v>
      </c>
      <c r="I766" s="15" t="s">
        <v>57</v>
      </c>
      <c r="J766" s="13">
        <v>3137.81</v>
      </c>
      <c r="K766" s="17">
        <f>IF(AND(H766&gt;0,J766&gt;0),(J766-H766)/H766,"")</f>
        <v>0</v>
      </c>
      <c r="L766" s="13">
        <v>3097.63</v>
      </c>
      <c r="M766" s="25">
        <f>IF(AND(J766&gt;0,L766&gt;0),(L766-J766)/J766,IF(AND(H766&gt;0,L766&gt;0),(L766-H766)/H766,""))</f>
        <v>-0.012805109295973892</v>
      </c>
      <c r="N766" s="14">
        <v>46049</v>
      </c>
      <c r="O766" s="13">
        <v>3097.63</v>
      </c>
      <c r="P766" s="16" t="str">
        <f>IF(AND(L766&gt;0,O766&gt;0),(O766-L766)/L766,"")</f>
        <v/>
      </c>
      <c r="Q766" s="18">
        <v>29</v>
      </c>
      <c r="R766" s="18">
        <v>5</v>
      </c>
      <c r="S766" s="19">
        <f>IF(N766&gt;0,TODAY()-N766,"")</f>
        <v>62</v>
      </c>
    </row>
    <row r="767" ht="17" customHeight="1" spans="1:19" x14ac:dyDescent="0.25">
      <c r="A767" s="3" t="s">
        <v>20</v>
      </c>
      <c r="B767" s="3" t="s">
        <v>1465</v>
      </c>
      <c r="C767" s="3" t="s">
        <v>1553</v>
      </c>
      <c r="D767" s="3" t="s">
        <v>1554</v>
      </c>
      <c r="E767" s="4">
        <v>8</v>
      </c>
      <c r="F767" s="5">
        <v>695.5</v>
      </c>
      <c r="G767" s="6">
        <v>45915</v>
      </c>
      <c r="H767" s="5">
        <v>640</v>
      </c>
      <c r="I767" s="7" t="s">
        <v>60</v>
      </c>
      <c r="J767" s="5">
        <v>751</v>
      </c>
      <c r="K767" s="22">
        <f>IF(AND(H767&gt;0,J767&gt;0),(J767-H767)/H767,"")</f>
        <v>0.1734375</v>
      </c>
      <c r="L767" s="5"/>
      <c r="M767" s="8" t="str">
        <f>IF(AND(J767&gt;0,L767&gt;0),(L767-J767)/J767,IF(AND(H767&gt;0,L767&gt;0),(L767-H767)/H767,""))</f>
        <v/>
      </c>
      <c r="N767" s="6">
        <v>45979</v>
      </c>
      <c r="O767" s="5">
        <v>751</v>
      </c>
      <c r="P767" s="8" t="str">
        <f>IF(AND(L767&gt;0,O767&gt;0),(O767-L767)/L767,"")</f>
        <v/>
      </c>
      <c r="Q767" s="9">
        <v>32</v>
      </c>
      <c r="R767" s="9">
        <v>3</v>
      </c>
      <c r="S767" s="21">
        <f>IF(N767&gt;0,TODAY()-N767,"")</f>
        <v>132</v>
      </c>
    </row>
    <row r="768" ht="17" customHeight="1" spans="1:19" x14ac:dyDescent="0.25">
      <c r="A768" s="11" t="s">
        <v>20</v>
      </c>
      <c r="B768" s="11" t="s">
        <v>1465</v>
      </c>
      <c r="C768" s="11" t="s">
        <v>1555</v>
      </c>
      <c r="D768" s="11" t="s">
        <v>1556</v>
      </c>
      <c r="E768" s="12">
        <v>185</v>
      </c>
      <c r="F768" s="13">
        <v>11011.060270270269</v>
      </c>
      <c r="G768" s="14">
        <v>45665</v>
      </c>
      <c r="H768" s="13">
        <v>7350.02</v>
      </c>
      <c r="I768" s="15" t="s">
        <v>24</v>
      </c>
      <c r="J768" s="13"/>
      <c r="K768" s="16" t="str">
        <f>IF(AND(H768&gt;0,J768&gt;0),(J768-H768)/H768,"")</f>
        <v/>
      </c>
      <c r="L768" s="13">
        <v>14637.28</v>
      </c>
      <c r="M768" s="23">
        <f>IF(AND(J768&gt;0,L768&gt;0),(L768-J768)/J768,IF(AND(H768&gt;0,L768&gt;0),(L768-H768)/H768,""))</f>
        <v>0.991461247724496</v>
      </c>
      <c r="N768" s="14">
        <v>46062</v>
      </c>
      <c r="O768" s="13">
        <v>14946.25</v>
      </c>
      <c r="P768" s="17">
        <f>IF(AND(L768&gt;0,O768&gt;0),(O768-L768)/L768,"")</f>
        <v>0.021108429981526577</v>
      </c>
      <c r="Q768" s="18">
        <v>40</v>
      </c>
      <c r="R768" s="18">
        <v>11</v>
      </c>
      <c r="S768" s="18">
        <f>IF(N768&gt;0,TODAY()-N768,"")</f>
        <v>49</v>
      </c>
    </row>
    <row r="769" ht="17" customHeight="1" spans="1:19" x14ac:dyDescent="0.25">
      <c r="A769" s="3" t="s">
        <v>20</v>
      </c>
      <c r="B769" s="3" t="s">
        <v>1465</v>
      </c>
      <c r="C769" s="3" t="s">
        <v>1557</v>
      </c>
      <c r="D769" s="3" t="s">
        <v>1558</v>
      </c>
      <c r="E769" s="4">
        <v>184</v>
      </c>
      <c r="F769" s="5">
        <v>11013.995489130435</v>
      </c>
      <c r="G769" s="6">
        <v>45665</v>
      </c>
      <c r="H769" s="5">
        <v>7350.02</v>
      </c>
      <c r="I769" s="7" t="s">
        <v>24</v>
      </c>
      <c r="J769" s="5"/>
      <c r="K769" s="8" t="str">
        <f>IF(AND(H769&gt;0,J769&gt;0),(J769-H769)/H769,"")</f>
        <v/>
      </c>
      <c r="L769" s="5">
        <v>14637.28</v>
      </c>
      <c r="M769" s="23">
        <f>IF(AND(J769&gt;0,L769&gt;0),(L769-J769)/J769,IF(AND(H769&gt;0,L769&gt;0),(L769-H769)/H769,""))</f>
        <v>0.991461247724496</v>
      </c>
      <c r="N769" s="6">
        <v>46062</v>
      </c>
      <c r="O769" s="5">
        <v>14946.25</v>
      </c>
      <c r="P769" s="24">
        <f>IF(AND(L769&gt;0,O769&gt;0),(O769-L769)/L769,"")</f>
        <v>0.021108429981526577</v>
      </c>
      <c r="Q769" s="9">
        <v>40</v>
      </c>
      <c r="R769" s="9">
        <v>11</v>
      </c>
      <c r="S769" s="9">
        <f>IF(N769&gt;0,TODAY()-N769,"")</f>
        <v>49</v>
      </c>
    </row>
    <row r="770" ht="17" customHeight="1" spans="1:19" x14ac:dyDescent="0.25">
      <c r="A770" s="11" t="s">
        <v>20</v>
      </c>
      <c r="B770" s="11" t="s">
        <v>1465</v>
      </c>
      <c r="C770" s="11" t="s">
        <v>1559</v>
      </c>
      <c r="D770" s="11" t="s">
        <v>1560</v>
      </c>
      <c r="E770" s="12">
        <v>40</v>
      </c>
      <c r="F770" s="13">
        <v>85</v>
      </c>
      <c r="G770" s="14">
        <v>46038</v>
      </c>
      <c r="H770" s="13">
        <v>85</v>
      </c>
      <c r="I770" s="15" t="s">
        <v>24</v>
      </c>
      <c r="J770" s="13"/>
      <c r="K770" s="16" t="str">
        <f>IF(AND(H770&gt;0,J770&gt;0),(J770-H770)/H770,"")</f>
        <v/>
      </c>
      <c r="L770" s="13">
        <v>85</v>
      </c>
      <c r="M770" s="17">
        <f>IF(AND(J770&gt;0,L770&gt;0),(L770-J770)/J770,IF(AND(H770&gt;0,L770&gt;0),(L770-H770)/H770,""))</f>
        <v>0</v>
      </c>
      <c r="N770" s="14">
        <v>46038</v>
      </c>
      <c r="O770" s="13">
        <v>85</v>
      </c>
      <c r="P770" s="16" t="str">
        <f>IF(AND(L770&gt;0,O770&gt;0),(O770-L770)/L770,"")</f>
        <v/>
      </c>
      <c r="Q770" s="18"/>
      <c r="R770" s="18">
        <v>1</v>
      </c>
      <c r="S770" s="19">
        <f>IF(N770&gt;0,TODAY()-N770,"")</f>
        <v>73</v>
      </c>
    </row>
    <row r="771" ht="17" customHeight="1" spans="1:19" x14ac:dyDescent="0.25">
      <c r="A771" s="3" t="s">
        <v>20</v>
      </c>
      <c r="B771" s="3" t="s">
        <v>1465</v>
      </c>
      <c r="C771" s="3" t="s">
        <v>1561</v>
      </c>
      <c r="D771" s="3" t="s">
        <v>1562</v>
      </c>
      <c r="E771" s="4">
        <v>90</v>
      </c>
      <c r="F771" s="5">
        <v>424.1198428888889</v>
      </c>
      <c r="G771" s="6">
        <v>45876</v>
      </c>
      <c r="H771" s="5">
        <v>391.85</v>
      </c>
      <c r="I771" s="7" t="s">
        <v>57</v>
      </c>
      <c r="J771" s="5">
        <v>404.67</v>
      </c>
      <c r="K771" s="24">
        <f>IF(AND(H771&gt;0,J771&gt;0),(J771-H771)/H771,"")</f>
        <v>0.032716600740079094</v>
      </c>
      <c r="L771" s="5"/>
      <c r="M771" s="8" t="str">
        <f>IF(AND(J771&gt;0,L771&gt;0),(L771-J771)/J771,IF(AND(H771&gt;0,L771&gt;0),(L771-H771)/H771,""))</f>
        <v/>
      </c>
      <c r="N771" s="6">
        <v>46106</v>
      </c>
      <c r="O771" s="5">
        <v>427.5</v>
      </c>
      <c r="P771" s="24">
        <f>IF(AND(L771&gt;0,O771&gt;0),(O771-L771)/L771,"")</f>
        <v>0.05641633923938019</v>
      </c>
      <c r="Q771" s="9">
        <v>58</v>
      </c>
      <c r="R771" s="9">
        <v>5</v>
      </c>
      <c r="S771" s="9">
        <f>IF(N771&gt;0,TODAY()-N771,"")</f>
        <v>5</v>
      </c>
    </row>
    <row r="772" ht="17" customHeight="1" spans="1:19" x14ac:dyDescent="0.25">
      <c r="A772" s="11" t="s">
        <v>20</v>
      </c>
      <c r="B772" s="11" t="s">
        <v>1465</v>
      </c>
      <c r="C772" s="11" t="s">
        <v>1563</v>
      </c>
      <c r="D772" s="11" t="s">
        <v>1564</v>
      </c>
      <c r="E772" s="12">
        <v>47</v>
      </c>
      <c r="F772" s="13">
        <v>1663.6774348936171</v>
      </c>
      <c r="G772" s="14">
        <v>45876</v>
      </c>
      <c r="H772" s="13">
        <v>1535.43</v>
      </c>
      <c r="I772" s="15" t="s">
        <v>57</v>
      </c>
      <c r="J772" s="13">
        <v>1585.65</v>
      </c>
      <c r="K772" s="17">
        <f>IF(AND(H772&gt;0,J772&gt;0),(J772-H772)/H772,"")</f>
        <v>0.03270745003028469</v>
      </c>
      <c r="L772" s="13"/>
      <c r="M772" s="16" t="str">
        <f>IF(AND(J772&gt;0,L772&gt;0),(L772-J772)/J772,IF(AND(H772&gt;0,L772&gt;0),(L772-H772)/H772,""))</f>
        <v/>
      </c>
      <c r="N772" s="14">
        <v>46108</v>
      </c>
      <c r="O772" s="13">
        <v>2000</v>
      </c>
      <c r="P772" s="23">
        <f>IF(AND(L772&gt;0,O772&gt;0),(O772-L772)/L772,"")</f>
        <v>0.2613123955475672</v>
      </c>
      <c r="Q772" s="18">
        <v>46</v>
      </c>
      <c r="R772" s="18">
        <v>6</v>
      </c>
      <c r="S772" s="18">
        <f>IF(N772&gt;0,TODAY()-N772,"")</f>
        <v>3</v>
      </c>
    </row>
    <row r="773" ht="17" customHeight="1" spans="1:19" x14ac:dyDescent="0.25">
      <c r="A773" s="3" t="s">
        <v>20</v>
      </c>
      <c r="B773" s="3" t="s">
        <v>1465</v>
      </c>
      <c r="C773" s="3" t="s">
        <v>1565</v>
      </c>
      <c r="D773" s="3" t="s">
        <v>1566</v>
      </c>
      <c r="E773" s="4">
        <v>48</v>
      </c>
      <c r="F773" s="5">
        <v>1700.9802812500002</v>
      </c>
      <c r="G773" s="6">
        <v>45876</v>
      </c>
      <c r="H773" s="5">
        <v>1575.89</v>
      </c>
      <c r="I773" s="7" t="s">
        <v>57</v>
      </c>
      <c r="J773" s="5">
        <v>1627.43</v>
      </c>
      <c r="K773" s="24">
        <f>IF(AND(H773&gt;0,J773&gt;0),(J773-H773)/H773,"")</f>
        <v>0.03270532841759257</v>
      </c>
      <c r="L773" s="5"/>
      <c r="M773" s="8" t="str">
        <f>IF(AND(J773&gt;0,L773&gt;0),(L773-J773)/J773,IF(AND(H773&gt;0,L773&gt;0),(L773-H773)/H773,""))</f>
        <v/>
      </c>
      <c r="N773" s="6">
        <v>46108</v>
      </c>
      <c r="O773" s="5">
        <v>2000</v>
      </c>
      <c r="P773" s="22">
        <f>IF(AND(L773&gt;0,O773&gt;0),(O773-L773)/L773,"")</f>
        <v>0.22893150550254077</v>
      </c>
      <c r="Q773" s="9">
        <v>46</v>
      </c>
      <c r="R773" s="9">
        <v>6</v>
      </c>
      <c r="S773" s="9">
        <f>IF(N773&gt;0,TODAY()-N773,"")</f>
        <v>3</v>
      </c>
    </row>
    <row r="774" ht="17" customHeight="1" spans="1:19" x14ac:dyDescent="0.25">
      <c r="A774" s="11" t="s">
        <v>20</v>
      </c>
      <c r="B774" s="11" t="s">
        <v>1465</v>
      </c>
      <c r="C774" s="11" t="s">
        <v>1567</v>
      </c>
      <c r="D774" s="11" t="s">
        <v>1568</v>
      </c>
      <c r="E774" s="12">
        <v>54</v>
      </c>
      <c r="F774" s="13">
        <v>1707.2748044444447</v>
      </c>
      <c r="G774" s="14">
        <v>45876</v>
      </c>
      <c r="H774" s="13">
        <v>1535.43</v>
      </c>
      <c r="I774" s="15" t="s">
        <v>57</v>
      </c>
      <c r="J774" s="13">
        <v>1585.65</v>
      </c>
      <c r="K774" s="17">
        <f>IF(AND(H774&gt;0,J774&gt;0),(J774-H774)/H774,"")</f>
        <v>0.03270745003028469</v>
      </c>
      <c r="L774" s="13"/>
      <c r="M774" s="16" t="str">
        <f>IF(AND(J774&gt;0,L774&gt;0),(L774-J774)/J774,IF(AND(H774&gt;0,L774&gt;0),(L774-H774)/H774,""))</f>
        <v/>
      </c>
      <c r="N774" s="14">
        <v>46108</v>
      </c>
      <c r="O774" s="13">
        <v>2000</v>
      </c>
      <c r="P774" s="23">
        <f>IF(AND(L774&gt;0,O774&gt;0),(O774-L774)/L774,"")</f>
        <v>0.2613123955475672</v>
      </c>
      <c r="Q774" s="18">
        <v>46</v>
      </c>
      <c r="R774" s="18">
        <v>6</v>
      </c>
      <c r="S774" s="18">
        <f>IF(N774&gt;0,TODAY()-N774,"")</f>
        <v>3</v>
      </c>
    </row>
    <row r="775" ht="17" customHeight="1" spans="1:19" x14ac:dyDescent="0.25">
      <c r="A775" s="3" t="s">
        <v>20</v>
      </c>
      <c r="B775" s="3" t="s">
        <v>1465</v>
      </c>
      <c r="C775" s="3" t="s">
        <v>1569</v>
      </c>
      <c r="D775" s="3" t="s">
        <v>1570</v>
      </c>
      <c r="E775" s="4">
        <v>50</v>
      </c>
      <c r="F775" s="5">
        <v>1712.94107</v>
      </c>
      <c r="G775" s="6">
        <v>45876</v>
      </c>
      <c r="H775" s="5">
        <v>1575.89</v>
      </c>
      <c r="I775" s="7" t="s">
        <v>57</v>
      </c>
      <c r="J775" s="5">
        <v>1627.43</v>
      </c>
      <c r="K775" s="24">
        <f>IF(AND(H775&gt;0,J775&gt;0),(J775-H775)/H775,"")</f>
        <v>0.03270532841759257</v>
      </c>
      <c r="L775" s="5"/>
      <c r="M775" s="8" t="str">
        <f>IF(AND(J775&gt;0,L775&gt;0),(L775-J775)/J775,IF(AND(H775&gt;0,L775&gt;0),(L775-H775)/H775,""))</f>
        <v/>
      </c>
      <c r="N775" s="6">
        <v>46108</v>
      </c>
      <c r="O775" s="5">
        <v>2000</v>
      </c>
      <c r="P775" s="22">
        <f>IF(AND(L775&gt;0,O775&gt;0),(O775-L775)/L775,"")</f>
        <v>0.22893150550254077</v>
      </c>
      <c r="Q775" s="9">
        <v>46</v>
      </c>
      <c r="R775" s="9">
        <v>6</v>
      </c>
      <c r="S775" s="9">
        <f>IF(N775&gt;0,TODAY()-N775,"")</f>
        <v>3</v>
      </c>
    </row>
    <row r="776" ht="17" customHeight="1" spans="1:19" x14ac:dyDescent="0.25">
      <c r="A776" s="11" t="s">
        <v>20</v>
      </c>
      <c r="B776" s="11" t="s">
        <v>1465</v>
      </c>
      <c r="C776" s="11" t="s">
        <v>1571</v>
      </c>
      <c r="D776" s="11" t="s">
        <v>1572</v>
      </c>
      <c r="E776" s="12">
        <v>40</v>
      </c>
      <c r="F776" s="13">
        <v>390.09796625</v>
      </c>
      <c r="G776" s="14">
        <v>45876</v>
      </c>
      <c r="H776" s="13">
        <v>265.78</v>
      </c>
      <c r="I776" s="15" t="s">
        <v>57</v>
      </c>
      <c r="J776" s="13">
        <v>274.48</v>
      </c>
      <c r="K776" s="17">
        <f>IF(AND(H776&gt;0,J776&gt;0),(J776-H776)/H776,"")</f>
        <v>0.03273384001806023</v>
      </c>
      <c r="L776" s="13"/>
      <c r="M776" s="16" t="str">
        <f>IF(AND(J776&gt;0,L776&gt;0),(L776-J776)/J776,IF(AND(H776&gt;0,L776&gt;0),(L776-H776)/H776,""))</f>
        <v/>
      </c>
      <c r="N776" s="14">
        <v>46063</v>
      </c>
      <c r="O776" s="13">
        <v>750</v>
      </c>
      <c r="P776" s="23">
        <f>IF(AND(L776&gt;0,O776&gt;0),(O776-L776)/L776,"")</f>
        <v>1.7324395220052464</v>
      </c>
      <c r="Q776" s="18">
        <v>94</v>
      </c>
      <c r="R776" s="18">
        <v>3</v>
      </c>
      <c r="S776" s="18">
        <f>IF(N776&gt;0,TODAY()-N776,"")</f>
        <v>48</v>
      </c>
    </row>
    <row r="777" ht="17" customHeight="1" spans="1:19" x14ac:dyDescent="0.25">
      <c r="A777" s="3" t="s">
        <v>20</v>
      </c>
      <c r="B777" s="3" t="s">
        <v>1465</v>
      </c>
      <c r="C777" s="3" t="s">
        <v>1573</v>
      </c>
      <c r="D777" s="3" t="s">
        <v>1574</v>
      </c>
      <c r="E777" s="4">
        <v>40</v>
      </c>
      <c r="F777" s="5">
        <v>387.5878795</v>
      </c>
      <c r="G777" s="6">
        <v>45876</v>
      </c>
      <c r="H777" s="5">
        <v>262.49</v>
      </c>
      <c r="I777" s="7" t="s">
        <v>57</v>
      </c>
      <c r="J777" s="5">
        <v>271.08</v>
      </c>
      <c r="K777" s="24">
        <f>IF(AND(H777&gt;0,J777&gt;0),(J777-H777)/H777,"")</f>
        <v>0.032725056192616765</v>
      </c>
      <c r="L777" s="5"/>
      <c r="M777" s="8" t="str">
        <f>IF(AND(J777&gt;0,L777&gt;0),(L777-J777)/J777,IF(AND(H777&gt;0,L777&gt;0),(L777-H777)/H777,""))</f>
        <v/>
      </c>
      <c r="N777" s="6">
        <v>46063</v>
      </c>
      <c r="O777" s="5">
        <v>750</v>
      </c>
      <c r="P777" s="23">
        <f>IF(AND(L777&gt;0,O777&gt;0),(O777-L777)/L777,"")</f>
        <v>1.7667109340416112</v>
      </c>
      <c r="Q777" s="9">
        <v>94</v>
      </c>
      <c r="R777" s="9">
        <v>3</v>
      </c>
      <c r="S777" s="9">
        <f>IF(N777&gt;0,TODAY()-N777,"")</f>
        <v>48</v>
      </c>
    </row>
    <row r="778" ht="17" customHeight="1" spans="1:19" x14ac:dyDescent="0.25">
      <c r="A778" s="11" t="s">
        <v>20</v>
      </c>
      <c r="B778" s="11" t="s">
        <v>1465</v>
      </c>
      <c r="C778" s="11" t="s">
        <v>1575</v>
      </c>
      <c r="D778" s="11" t="s">
        <v>1576</v>
      </c>
      <c r="E778" s="12">
        <v>40</v>
      </c>
      <c r="F778" s="13">
        <v>387.5878795</v>
      </c>
      <c r="G778" s="14">
        <v>45876</v>
      </c>
      <c r="H778" s="13">
        <v>262.49</v>
      </c>
      <c r="I778" s="15" t="s">
        <v>57</v>
      </c>
      <c r="J778" s="13">
        <v>271.08</v>
      </c>
      <c r="K778" s="17">
        <f>IF(AND(H778&gt;0,J778&gt;0),(J778-H778)/H778,"")</f>
        <v>0.032725056192616765</v>
      </c>
      <c r="L778" s="13"/>
      <c r="M778" s="16" t="str">
        <f>IF(AND(J778&gt;0,L778&gt;0),(L778-J778)/J778,IF(AND(H778&gt;0,L778&gt;0),(L778-H778)/H778,""))</f>
        <v/>
      </c>
      <c r="N778" s="14">
        <v>46063</v>
      </c>
      <c r="O778" s="13">
        <v>750</v>
      </c>
      <c r="P778" s="23">
        <f>IF(AND(L778&gt;0,O778&gt;0),(O778-L778)/L778,"")</f>
        <v>1.7667109340416112</v>
      </c>
      <c r="Q778" s="18">
        <v>94</v>
      </c>
      <c r="R778" s="18">
        <v>3</v>
      </c>
      <c r="S778" s="18">
        <f>IF(N778&gt;0,TODAY()-N778,"")</f>
        <v>48</v>
      </c>
    </row>
    <row r="779" ht="17" customHeight="1" spans="1:19" x14ac:dyDescent="0.25">
      <c r="A779" s="3" t="s">
        <v>20</v>
      </c>
      <c r="B779" s="3" t="s">
        <v>1465</v>
      </c>
      <c r="C779" s="3" t="s">
        <v>1577</v>
      </c>
      <c r="D779" s="3" t="s">
        <v>1578</v>
      </c>
      <c r="E779" s="4">
        <v>40</v>
      </c>
      <c r="F779" s="5">
        <v>390.09796625</v>
      </c>
      <c r="G779" s="6">
        <v>45876</v>
      </c>
      <c r="H779" s="5">
        <v>265.78</v>
      </c>
      <c r="I779" s="7" t="s">
        <v>57</v>
      </c>
      <c r="J779" s="5">
        <v>274.48</v>
      </c>
      <c r="K779" s="24">
        <f>IF(AND(H779&gt;0,J779&gt;0),(J779-H779)/H779,"")</f>
        <v>0.03273384001806023</v>
      </c>
      <c r="L779" s="5"/>
      <c r="M779" s="8" t="str">
        <f>IF(AND(J779&gt;0,L779&gt;0),(L779-J779)/J779,IF(AND(H779&gt;0,L779&gt;0),(L779-H779)/H779,""))</f>
        <v/>
      </c>
      <c r="N779" s="6">
        <v>46063</v>
      </c>
      <c r="O779" s="5">
        <v>750</v>
      </c>
      <c r="P779" s="23">
        <f>IF(AND(L779&gt;0,O779&gt;0),(O779-L779)/L779,"")</f>
        <v>1.7324395220052464</v>
      </c>
      <c r="Q779" s="9">
        <v>94</v>
      </c>
      <c r="R779" s="9">
        <v>3</v>
      </c>
      <c r="S779" s="9">
        <f>IF(N779&gt;0,TODAY()-N779,"")</f>
        <v>48</v>
      </c>
    </row>
    <row r="780" ht="17" customHeight="1" spans="1:19" x14ac:dyDescent="0.25">
      <c r="A780" s="11" t="s">
        <v>20</v>
      </c>
      <c r="B780" s="11" t="s">
        <v>1465</v>
      </c>
      <c r="C780" s="11" t="s">
        <v>1579</v>
      </c>
      <c r="D780" s="11" t="s">
        <v>1580</v>
      </c>
      <c r="E780" s="12">
        <v>60</v>
      </c>
      <c r="F780" s="13">
        <v>1803.8671573333334</v>
      </c>
      <c r="G780" s="14">
        <v>45684</v>
      </c>
      <c r="H780" s="13">
        <v>3000</v>
      </c>
      <c r="I780" s="15" t="s">
        <v>24</v>
      </c>
      <c r="J780" s="13"/>
      <c r="K780" s="16" t="str">
        <f>IF(AND(H780&gt;0,J780&gt;0),(J780-H780)/H780,"")</f>
        <v/>
      </c>
      <c r="L780" s="13"/>
      <c r="M780" s="16" t="str">
        <f>IF(AND(J780&gt;0,L780&gt;0),(L780-J780)/J780,IF(AND(H780&gt;0,L780&gt;0),(L780-H780)/H780,""))</f>
        <v/>
      </c>
      <c r="N780" s="14">
        <v>45876</v>
      </c>
      <c r="O780" s="13">
        <v>1535.43</v>
      </c>
      <c r="P780" s="16" t="str">
        <f>IF(AND(L780&gt;0,O780&gt;0),(O780-L780)/L780,"")</f>
        <v/>
      </c>
      <c r="Q780" s="18">
        <v>64</v>
      </c>
      <c r="R780" s="18">
        <v>4</v>
      </c>
      <c r="S780" s="10">
        <f>IF(N780&gt;0,TODAY()-N780,"")</f>
        <v>235</v>
      </c>
    </row>
    <row r="781" ht="17" customHeight="1" spans="1:19" x14ac:dyDescent="0.25">
      <c r="A781" s="3" t="s">
        <v>20</v>
      </c>
      <c r="B781" s="3" t="s">
        <v>1465</v>
      </c>
      <c r="C781" s="3" t="s">
        <v>1581</v>
      </c>
      <c r="D781" s="3" t="s">
        <v>1582</v>
      </c>
      <c r="E781" s="4">
        <v>60</v>
      </c>
      <c r="F781" s="5">
        <v>1822.7690583333335</v>
      </c>
      <c r="G781" s="6">
        <v>45684</v>
      </c>
      <c r="H781" s="5">
        <v>3000</v>
      </c>
      <c r="I781" s="7" t="s">
        <v>24</v>
      </c>
      <c r="J781" s="5"/>
      <c r="K781" s="8" t="str">
        <f>IF(AND(H781&gt;0,J781&gt;0),(J781-H781)/H781,"")</f>
        <v/>
      </c>
      <c r="L781" s="5"/>
      <c r="M781" s="8" t="str">
        <f>IF(AND(J781&gt;0,L781&gt;0),(L781-J781)/J781,IF(AND(H781&gt;0,L781&gt;0),(L781-H781)/H781,""))</f>
        <v/>
      </c>
      <c r="N781" s="6">
        <v>45876</v>
      </c>
      <c r="O781" s="5">
        <v>1575.89</v>
      </c>
      <c r="P781" s="8" t="str">
        <f>IF(AND(L781&gt;0,O781&gt;0),(O781-L781)/L781,"")</f>
        <v/>
      </c>
      <c r="Q781" s="9">
        <v>64</v>
      </c>
      <c r="R781" s="9">
        <v>4</v>
      </c>
      <c r="S781" s="10">
        <f>IF(N781&gt;0,TODAY()-N781,"")</f>
        <v>235</v>
      </c>
    </row>
    <row r="782" ht="17" customHeight="1" spans="1:19" x14ac:dyDescent="0.25">
      <c r="A782" s="11" t="s">
        <v>20</v>
      </c>
      <c r="B782" s="11" t="s">
        <v>1465</v>
      </c>
      <c r="C782" s="11" t="s">
        <v>1583</v>
      </c>
      <c r="D782" s="11" t="s">
        <v>1584</v>
      </c>
      <c r="E782" s="12">
        <v>60</v>
      </c>
      <c r="F782" s="13">
        <v>1803.4584906666669</v>
      </c>
      <c r="G782" s="14">
        <v>45684</v>
      </c>
      <c r="H782" s="13">
        <v>3000</v>
      </c>
      <c r="I782" s="15" t="s">
        <v>24</v>
      </c>
      <c r="J782" s="13"/>
      <c r="K782" s="16" t="str">
        <f>IF(AND(H782&gt;0,J782&gt;0),(J782-H782)/H782,"")</f>
        <v/>
      </c>
      <c r="L782" s="13"/>
      <c r="M782" s="16" t="str">
        <f>IF(AND(J782&gt;0,L782&gt;0),(L782-J782)/J782,IF(AND(H782&gt;0,L782&gt;0),(L782-H782)/H782,""))</f>
        <v/>
      </c>
      <c r="N782" s="14">
        <v>45876</v>
      </c>
      <c r="O782" s="13">
        <v>1535.43</v>
      </c>
      <c r="P782" s="16" t="str">
        <f>IF(AND(L782&gt;0,O782&gt;0),(O782-L782)/L782,"")</f>
        <v/>
      </c>
      <c r="Q782" s="18">
        <v>64</v>
      </c>
      <c r="R782" s="18">
        <v>4</v>
      </c>
      <c r="S782" s="10">
        <f>IF(N782&gt;0,TODAY()-N782,"")</f>
        <v>235</v>
      </c>
    </row>
    <row r="783" ht="17" customHeight="1" spans="1:19" x14ac:dyDescent="0.25">
      <c r="A783" s="3" t="s">
        <v>20</v>
      </c>
      <c r="B783" s="3" t="s">
        <v>1465</v>
      </c>
      <c r="C783" s="3" t="s">
        <v>1585</v>
      </c>
      <c r="D783" s="3" t="s">
        <v>1586</v>
      </c>
      <c r="E783" s="4">
        <v>60</v>
      </c>
      <c r="F783" s="5">
        <v>1822.7690583333335</v>
      </c>
      <c r="G783" s="6">
        <v>45684</v>
      </c>
      <c r="H783" s="5">
        <v>3000</v>
      </c>
      <c r="I783" s="7" t="s">
        <v>24</v>
      </c>
      <c r="J783" s="5"/>
      <c r="K783" s="8" t="str">
        <f>IF(AND(H783&gt;0,J783&gt;0),(J783-H783)/H783,"")</f>
        <v/>
      </c>
      <c r="L783" s="5"/>
      <c r="M783" s="8" t="str">
        <f>IF(AND(J783&gt;0,L783&gt;0),(L783-J783)/J783,IF(AND(H783&gt;0,L783&gt;0),(L783-H783)/H783,""))</f>
        <v/>
      </c>
      <c r="N783" s="6">
        <v>45876</v>
      </c>
      <c r="O783" s="5">
        <v>1575.89</v>
      </c>
      <c r="P783" s="8" t="str">
        <f>IF(AND(L783&gt;0,O783&gt;0),(O783-L783)/L783,"")</f>
        <v/>
      </c>
      <c r="Q783" s="9">
        <v>64</v>
      </c>
      <c r="R783" s="9">
        <v>4</v>
      </c>
      <c r="S783" s="10">
        <f>IF(N783&gt;0,TODAY()-N783,"")</f>
        <v>235</v>
      </c>
    </row>
    <row r="784" ht="17" customHeight="1" spans="1:19" x14ac:dyDescent="0.25">
      <c r="A784" s="11" t="s">
        <v>20</v>
      </c>
      <c r="B784" s="11" t="s">
        <v>1465</v>
      </c>
      <c r="C784" s="11" t="s">
        <v>1587</v>
      </c>
      <c r="D784" s="11" t="s">
        <v>1588</v>
      </c>
      <c r="E784" s="12">
        <v>60</v>
      </c>
      <c r="F784" s="13">
        <v>351.3522833333334</v>
      </c>
      <c r="G784" s="14">
        <v>45684</v>
      </c>
      <c r="H784" s="13">
        <v>500</v>
      </c>
      <c r="I784" s="15" t="s">
        <v>24</v>
      </c>
      <c r="J784" s="13"/>
      <c r="K784" s="16" t="str">
        <f>IF(AND(H784&gt;0,J784&gt;0),(J784-H784)/H784,"")</f>
        <v/>
      </c>
      <c r="L784" s="13"/>
      <c r="M784" s="16" t="str">
        <f>IF(AND(J784&gt;0,L784&gt;0),(L784-J784)/J784,IF(AND(H784&gt;0,L784&gt;0),(L784-H784)/H784,""))</f>
        <v/>
      </c>
      <c r="N784" s="14">
        <v>45876</v>
      </c>
      <c r="O784" s="13">
        <v>329.29</v>
      </c>
      <c r="P784" s="16" t="str">
        <f>IF(AND(L784&gt;0,O784&gt;0),(O784-L784)/L784,"")</f>
        <v/>
      </c>
      <c r="Q784" s="18">
        <v>64</v>
      </c>
      <c r="R784" s="18">
        <v>4</v>
      </c>
      <c r="S784" s="10">
        <f>IF(N784&gt;0,TODAY()-N784,"")</f>
        <v>235</v>
      </c>
    </row>
    <row r="785" ht="17" customHeight="1" spans="1:19" x14ac:dyDescent="0.25">
      <c r="A785" s="3" t="s">
        <v>20</v>
      </c>
      <c r="B785" s="3" t="s">
        <v>1465</v>
      </c>
      <c r="C785" s="3" t="s">
        <v>1589</v>
      </c>
      <c r="D785" s="3" t="s">
        <v>1590</v>
      </c>
      <c r="E785" s="4">
        <v>60</v>
      </c>
      <c r="F785" s="5">
        <v>356.84703749999994</v>
      </c>
      <c r="G785" s="6">
        <v>45684</v>
      </c>
      <c r="H785" s="5">
        <v>500</v>
      </c>
      <c r="I785" s="7" t="s">
        <v>24</v>
      </c>
      <c r="J785" s="5"/>
      <c r="K785" s="8" t="str">
        <f>IF(AND(H785&gt;0,J785&gt;0),(J785-H785)/H785,"")</f>
        <v/>
      </c>
      <c r="L785" s="5"/>
      <c r="M785" s="8" t="str">
        <f>IF(AND(J785&gt;0,L785&gt;0),(L785-J785)/J785,IF(AND(H785&gt;0,L785&gt;0),(L785-H785)/H785,""))</f>
        <v/>
      </c>
      <c r="N785" s="6">
        <v>45876</v>
      </c>
      <c r="O785" s="5">
        <v>341.05</v>
      </c>
      <c r="P785" s="8" t="str">
        <f>IF(AND(L785&gt;0,O785&gt;0),(O785-L785)/L785,"")</f>
        <v/>
      </c>
      <c r="Q785" s="9">
        <v>64</v>
      </c>
      <c r="R785" s="9">
        <v>4</v>
      </c>
      <c r="S785" s="10">
        <f>IF(N785&gt;0,TODAY()-N785,"")</f>
        <v>235</v>
      </c>
    </row>
    <row r="786" ht="17" customHeight="1" spans="1:19" x14ac:dyDescent="0.25">
      <c r="A786" s="11" t="s">
        <v>20</v>
      </c>
      <c r="B786" s="11" t="s">
        <v>1465</v>
      </c>
      <c r="C786" s="11" t="s">
        <v>1591</v>
      </c>
      <c r="D786" s="11" t="s">
        <v>1592</v>
      </c>
      <c r="E786" s="12">
        <v>60</v>
      </c>
      <c r="F786" s="13">
        <v>351.3522833333334</v>
      </c>
      <c r="G786" s="14">
        <v>45684</v>
      </c>
      <c r="H786" s="13">
        <v>500</v>
      </c>
      <c r="I786" s="15" t="s">
        <v>24</v>
      </c>
      <c r="J786" s="13"/>
      <c r="K786" s="16" t="str">
        <f>IF(AND(H786&gt;0,J786&gt;0),(J786-H786)/H786,"")</f>
        <v/>
      </c>
      <c r="L786" s="13"/>
      <c r="M786" s="16" t="str">
        <f>IF(AND(J786&gt;0,L786&gt;0),(L786-J786)/J786,IF(AND(H786&gt;0,L786&gt;0),(L786-H786)/H786,""))</f>
        <v/>
      </c>
      <c r="N786" s="14">
        <v>45876</v>
      </c>
      <c r="O786" s="13">
        <v>329.29</v>
      </c>
      <c r="P786" s="16" t="str">
        <f>IF(AND(L786&gt;0,O786&gt;0),(O786-L786)/L786,"")</f>
        <v/>
      </c>
      <c r="Q786" s="18">
        <v>64</v>
      </c>
      <c r="R786" s="18">
        <v>4</v>
      </c>
      <c r="S786" s="10">
        <f>IF(N786&gt;0,TODAY()-N786,"")</f>
        <v>235</v>
      </c>
    </row>
    <row r="787" ht="17" customHeight="1" spans="1:19" x14ac:dyDescent="0.25">
      <c r="A787" s="3" t="s">
        <v>20</v>
      </c>
      <c r="B787" s="3" t="s">
        <v>1465</v>
      </c>
      <c r="C787" s="3" t="s">
        <v>1593</v>
      </c>
      <c r="D787" s="3" t="s">
        <v>1594</v>
      </c>
      <c r="E787" s="4">
        <v>60</v>
      </c>
      <c r="F787" s="5">
        <v>356.84703749999994</v>
      </c>
      <c r="G787" s="6">
        <v>45684</v>
      </c>
      <c r="H787" s="5">
        <v>500</v>
      </c>
      <c r="I787" s="7" t="s">
        <v>24</v>
      </c>
      <c r="J787" s="5"/>
      <c r="K787" s="8" t="str">
        <f>IF(AND(H787&gt;0,J787&gt;0),(J787-H787)/H787,"")</f>
        <v/>
      </c>
      <c r="L787" s="5"/>
      <c r="M787" s="8" t="str">
        <f>IF(AND(J787&gt;0,L787&gt;0),(L787-J787)/J787,IF(AND(H787&gt;0,L787&gt;0),(L787-H787)/H787,""))</f>
        <v/>
      </c>
      <c r="N787" s="6">
        <v>45876</v>
      </c>
      <c r="O787" s="5">
        <v>341.05</v>
      </c>
      <c r="P787" s="8" t="str">
        <f>IF(AND(L787&gt;0,O787&gt;0),(O787-L787)/L787,"")</f>
        <v/>
      </c>
      <c r="Q787" s="9">
        <v>64</v>
      </c>
      <c r="R787" s="9">
        <v>4</v>
      </c>
      <c r="S787" s="10">
        <f>IF(N787&gt;0,TODAY()-N787,"")</f>
        <v>235</v>
      </c>
    </row>
    <row r="788" ht="17" customHeight="1" spans="1:19" x14ac:dyDescent="0.25">
      <c r="A788" s="11" t="s">
        <v>20</v>
      </c>
      <c r="B788" s="11" t="s">
        <v>1465</v>
      </c>
      <c r="C788" s="11" t="s">
        <v>1595</v>
      </c>
      <c r="D788" s="11" t="s">
        <v>1596</v>
      </c>
      <c r="E788" s="12">
        <v>72</v>
      </c>
      <c r="F788" s="13">
        <v>390</v>
      </c>
      <c r="G788" s="14">
        <v>45741</v>
      </c>
      <c r="H788" s="13">
        <v>390</v>
      </c>
      <c r="I788" s="15" t="s">
        <v>24</v>
      </c>
      <c r="J788" s="13"/>
      <c r="K788" s="16" t="str">
        <f>IF(AND(H788&gt;0,J788&gt;0),(J788-H788)/H788,"")</f>
        <v/>
      </c>
      <c r="L788" s="13"/>
      <c r="M788" s="16" t="str">
        <f>IF(AND(J788&gt;0,L788&gt;0),(L788-J788)/J788,IF(AND(H788&gt;0,L788&gt;0),(L788-H788)/H788,""))</f>
        <v/>
      </c>
      <c r="N788" s="14">
        <v>45909</v>
      </c>
      <c r="O788" s="13">
        <v>390</v>
      </c>
      <c r="P788" s="16" t="str">
        <f>IF(AND(L788&gt;0,O788&gt;0),(O788-L788)/L788,"")</f>
        <v/>
      </c>
      <c r="Q788" s="18">
        <v>19</v>
      </c>
      <c r="R788" s="18">
        <v>10</v>
      </c>
      <c r="S788" s="10">
        <f>IF(N788&gt;0,TODAY()-N788,"")</f>
        <v>202</v>
      </c>
    </row>
    <row r="789" ht="17" customHeight="1" spans="1:19" x14ac:dyDescent="0.25">
      <c r="A789" s="3" t="s">
        <v>20</v>
      </c>
      <c r="B789" s="3" t="s">
        <v>1465</v>
      </c>
      <c r="C789" s="3" t="s">
        <v>1597</v>
      </c>
      <c r="D789" s="3" t="s">
        <v>1598</v>
      </c>
      <c r="E789" s="4">
        <v>52</v>
      </c>
      <c r="F789" s="5">
        <v>447.11538461538464</v>
      </c>
      <c r="G789" s="6">
        <v>45917</v>
      </c>
      <c r="H789" s="5">
        <v>420</v>
      </c>
      <c r="I789" s="7" t="s">
        <v>60</v>
      </c>
      <c r="J789" s="5">
        <v>450</v>
      </c>
      <c r="K789" s="24">
        <f>IF(AND(H789&gt;0,J789&gt;0),(J789-H789)/H789,"")</f>
        <v>0.07142857142857142</v>
      </c>
      <c r="L789" s="5"/>
      <c r="M789" s="8" t="str">
        <f>IF(AND(J789&gt;0,L789&gt;0),(L789-J789)/J789,IF(AND(H789&gt;0,L789&gt;0),(L789-H789)/H789,""))</f>
        <v/>
      </c>
      <c r="N789" s="6">
        <v>46105</v>
      </c>
      <c r="O789" s="5">
        <v>450</v>
      </c>
      <c r="P789" s="24">
        <f>IF(AND(L789&gt;0,O789&gt;0),(O789-L789)/L789,"")</f>
        <v>0</v>
      </c>
      <c r="Q789" s="9">
        <v>47</v>
      </c>
      <c r="R789" s="9">
        <v>5</v>
      </c>
      <c r="S789" s="9">
        <f>IF(N789&gt;0,TODAY()-N789,"")</f>
        <v>6</v>
      </c>
    </row>
    <row r="790" ht="17" customHeight="1" spans="1:19" x14ac:dyDescent="0.25">
      <c r="A790" s="11" t="s">
        <v>20</v>
      </c>
      <c r="B790" s="11" t="s">
        <v>1465</v>
      </c>
      <c r="C790" s="11" t="s">
        <v>1599</v>
      </c>
      <c r="D790" s="11" t="s">
        <v>1600</v>
      </c>
      <c r="E790" s="12">
        <v>83</v>
      </c>
      <c r="F790" s="13">
        <v>650</v>
      </c>
      <c r="G790" s="14">
        <v>45709</v>
      </c>
      <c r="H790" s="13">
        <v>650</v>
      </c>
      <c r="I790" s="15" t="s">
        <v>24</v>
      </c>
      <c r="J790" s="13"/>
      <c r="K790" s="16" t="str">
        <f>IF(AND(H790&gt;0,J790&gt;0),(J790-H790)/H790,"")</f>
        <v/>
      </c>
      <c r="L790" s="13"/>
      <c r="M790" s="16" t="str">
        <f>IF(AND(J790&gt;0,L790&gt;0),(L790-J790)/J790,IF(AND(H790&gt;0,L790&gt;0),(L790-H790)/H790,""))</f>
        <v/>
      </c>
      <c r="N790" s="14">
        <v>45909</v>
      </c>
      <c r="O790" s="13">
        <v>650</v>
      </c>
      <c r="P790" s="16" t="str">
        <f>IF(AND(L790&gt;0,O790&gt;0),(O790-L790)/L790,"")</f>
        <v/>
      </c>
      <c r="Q790" s="18">
        <v>25</v>
      </c>
      <c r="R790" s="18">
        <v>9</v>
      </c>
      <c r="S790" s="10">
        <f>IF(N790&gt;0,TODAY()-N790,"")</f>
        <v>202</v>
      </c>
    </row>
    <row r="791" ht="17" customHeight="1" spans="1:19" x14ac:dyDescent="0.25">
      <c r="A791" s="3" t="s">
        <v>20</v>
      </c>
      <c r="B791" s="3" t="s">
        <v>1465</v>
      </c>
      <c r="C791" s="3" t="s">
        <v>1601</v>
      </c>
      <c r="D791" s="3" t="s">
        <v>1602</v>
      </c>
      <c r="E791" s="4">
        <v>47</v>
      </c>
      <c r="F791" s="5">
        <v>744.6808510638298</v>
      </c>
      <c r="G791" s="6">
        <v>45917</v>
      </c>
      <c r="H791" s="5">
        <v>700</v>
      </c>
      <c r="I791" s="7" t="s">
        <v>60</v>
      </c>
      <c r="J791" s="5">
        <v>750</v>
      </c>
      <c r="K791" s="24">
        <f>IF(AND(H791&gt;0,J791&gt;0),(J791-H791)/H791,"")</f>
        <v>0.07142857142857142</v>
      </c>
      <c r="L791" s="5"/>
      <c r="M791" s="8" t="str">
        <f>IF(AND(J791&gt;0,L791&gt;0),(L791-J791)/J791,IF(AND(H791&gt;0,L791&gt;0),(L791-H791)/H791,""))</f>
        <v/>
      </c>
      <c r="N791" s="6">
        <v>46105</v>
      </c>
      <c r="O791" s="5">
        <v>750</v>
      </c>
      <c r="P791" s="24">
        <f>IF(AND(L791&gt;0,O791&gt;0),(O791-L791)/L791,"")</f>
        <v>0</v>
      </c>
      <c r="Q791" s="9">
        <v>47</v>
      </c>
      <c r="R791" s="9">
        <v>5</v>
      </c>
      <c r="S791" s="9">
        <f>IF(N791&gt;0,TODAY()-N791,"")</f>
        <v>6</v>
      </c>
    </row>
    <row r="792" ht="17" customHeight="1" spans="1:19" x14ac:dyDescent="0.25">
      <c r="A792" s="11" t="s">
        <v>20</v>
      </c>
      <c r="B792" s="11" t="s">
        <v>1465</v>
      </c>
      <c r="C792" s="11" t="s">
        <v>1603</v>
      </c>
      <c r="D792" s="11" t="s">
        <v>1604</v>
      </c>
      <c r="E792" s="12">
        <v>10</v>
      </c>
      <c r="F792" s="13">
        <v>215.406</v>
      </c>
      <c r="G792" s="14">
        <v>45744</v>
      </c>
      <c r="H792" s="13">
        <v>215.41</v>
      </c>
      <c r="I792" s="15" t="s">
        <v>24</v>
      </c>
      <c r="J792" s="13"/>
      <c r="K792" s="16" t="str">
        <f>IF(AND(H792&gt;0,J792&gt;0),(J792-H792)/H792,"")</f>
        <v/>
      </c>
      <c r="L792" s="13"/>
      <c r="M792" s="16" t="str">
        <f>IF(AND(J792&gt;0,L792&gt;0),(L792-J792)/J792,IF(AND(H792&gt;0,L792&gt;0),(L792-H792)/H792,""))</f>
        <v/>
      </c>
      <c r="N792" s="14">
        <v>45744</v>
      </c>
      <c r="O792" s="13">
        <v>215.41</v>
      </c>
      <c r="P792" s="16" t="str">
        <f>IF(AND(L792&gt;0,O792&gt;0),(O792-L792)/L792,"")</f>
        <v/>
      </c>
      <c r="Q792" s="18"/>
      <c r="R792" s="18">
        <v>1</v>
      </c>
      <c r="S792" s="10">
        <f>IF(N792&gt;0,TODAY()-N792,"")</f>
        <v>367</v>
      </c>
    </row>
    <row r="793" ht="17" customHeight="1" spans="1:19" x14ac:dyDescent="0.25">
      <c r="A793" s="3" t="s">
        <v>20</v>
      </c>
      <c r="B793" s="3" t="s">
        <v>1465</v>
      </c>
      <c r="C793" s="3" t="s">
        <v>1605</v>
      </c>
      <c r="D793" s="3" t="s">
        <v>1606</v>
      </c>
      <c r="E793" s="4">
        <v>49</v>
      </c>
      <c r="F793" s="5">
        <v>209.20204081632653</v>
      </c>
      <c r="G793" s="6">
        <v>45744</v>
      </c>
      <c r="H793" s="5">
        <v>192.52</v>
      </c>
      <c r="I793" s="7" t="s">
        <v>24</v>
      </c>
      <c r="J793" s="5"/>
      <c r="K793" s="8" t="str">
        <f>IF(AND(H793&gt;0,J793&gt;0),(J793-H793)/H793,"")</f>
        <v/>
      </c>
      <c r="L793" s="5"/>
      <c r="M793" s="8" t="str">
        <f>IF(AND(J793&gt;0,L793&gt;0),(L793-J793)/J793,IF(AND(H793&gt;0,L793&gt;0),(L793-H793)/H793,""))</f>
        <v/>
      </c>
      <c r="N793" s="6">
        <v>45821</v>
      </c>
      <c r="O793" s="5">
        <v>213.48</v>
      </c>
      <c r="P793" s="8" t="str">
        <f>IF(AND(L793&gt;0,O793&gt;0),(O793-L793)/L793,"")</f>
        <v/>
      </c>
      <c r="Q793" s="9">
        <v>77</v>
      </c>
      <c r="R793" s="9">
        <v>2</v>
      </c>
      <c r="S793" s="10">
        <f>IF(N793&gt;0,TODAY()-N793,"")</f>
        <v>290</v>
      </c>
    </row>
    <row r="794" ht="17" customHeight="1" spans="1:19" x14ac:dyDescent="0.25">
      <c r="A794" s="11" t="s">
        <v>20</v>
      </c>
      <c r="B794" s="11" t="s">
        <v>1465</v>
      </c>
      <c r="C794" s="11" t="s">
        <v>1607</v>
      </c>
      <c r="D794" s="11" t="s">
        <v>1608</v>
      </c>
      <c r="E794" s="12">
        <v>220</v>
      </c>
      <c r="F794" s="13">
        <v>140</v>
      </c>
      <c r="G794" s="14">
        <v>45875</v>
      </c>
      <c r="H794" s="13">
        <v>140</v>
      </c>
      <c r="I794" s="15" t="s">
        <v>24</v>
      </c>
      <c r="J794" s="13"/>
      <c r="K794" s="16" t="str">
        <f>IF(AND(H794&gt;0,J794&gt;0),(J794-H794)/H794,"")</f>
        <v/>
      </c>
      <c r="L794" s="13"/>
      <c r="M794" s="16" t="str">
        <f>IF(AND(J794&gt;0,L794&gt;0),(L794-J794)/J794,IF(AND(H794&gt;0,L794&gt;0),(L794-H794)/H794,""))</f>
        <v/>
      </c>
      <c r="N794" s="14">
        <v>45917</v>
      </c>
      <c r="O794" s="13">
        <v>140</v>
      </c>
      <c r="P794" s="16" t="str">
        <f>IF(AND(L794&gt;0,O794&gt;0),(O794-L794)/L794,"")</f>
        <v/>
      </c>
      <c r="Q794" s="18">
        <v>42</v>
      </c>
      <c r="R794" s="18">
        <v>2</v>
      </c>
      <c r="S794" s="10">
        <f>IF(N794&gt;0,TODAY()-N794,"")</f>
        <v>194</v>
      </c>
    </row>
    <row r="795" ht="17" customHeight="1" spans="1:19" x14ac:dyDescent="0.25">
      <c r="A795" s="3" t="s">
        <v>20</v>
      </c>
      <c r="B795" s="3" t="s">
        <v>1465</v>
      </c>
      <c r="C795" s="3" t="s">
        <v>1609</v>
      </c>
      <c r="D795" s="3" t="s">
        <v>1610</v>
      </c>
      <c r="E795" s="4">
        <v>5</v>
      </c>
      <c r="F795" s="5">
        <v>1036</v>
      </c>
      <c r="G795" s="6">
        <v>45944</v>
      </c>
      <c r="H795" s="5">
        <v>980</v>
      </c>
      <c r="I795" s="7" t="s">
        <v>60</v>
      </c>
      <c r="J795" s="5">
        <v>1050</v>
      </c>
      <c r="K795" s="24">
        <f>IF(AND(H795&gt;0,J795&gt;0),(J795-H795)/H795,"")</f>
        <v>0.07142857142857142</v>
      </c>
      <c r="L795" s="5"/>
      <c r="M795" s="8" t="str">
        <f>IF(AND(J795&gt;0,L795&gt;0),(L795-J795)/J795,IF(AND(H795&gt;0,L795&gt;0),(L795-H795)/H795,""))</f>
        <v/>
      </c>
      <c r="N795" s="6">
        <v>45979</v>
      </c>
      <c r="O795" s="5">
        <v>1050</v>
      </c>
      <c r="P795" s="8" t="str">
        <f>IF(AND(L795&gt;0,O795&gt;0),(O795-L795)/L795,"")</f>
        <v/>
      </c>
      <c r="Q795" s="9">
        <v>35</v>
      </c>
      <c r="R795" s="9">
        <v>2</v>
      </c>
      <c r="S795" s="21">
        <f>IF(N795&gt;0,TODAY()-N795,"")</f>
        <v>132</v>
      </c>
    </row>
    <row r="796" ht="17" customHeight="1" spans="1:19" x14ac:dyDescent="0.25">
      <c r="A796" s="11" t="s">
        <v>20</v>
      </c>
      <c r="B796" s="11" t="s">
        <v>1465</v>
      </c>
      <c r="C796" s="11" t="s">
        <v>1611</v>
      </c>
      <c r="D796" s="11" t="s">
        <v>1612</v>
      </c>
      <c r="E796" s="12">
        <v>8</v>
      </c>
      <c r="F796" s="13">
        <v>3850</v>
      </c>
      <c r="G796" s="14">
        <v>45714</v>
      </c>
      <c r="H796" s="13">
        <v>3850</v>
      </c>
      <c r="I796" s="15" t="s">
        <v>24</v>
      </c>
      <c r="J796" s="13"/>
      <c r="K796" s="16" t="str">
        <f>IF(AND(H796&gt;0,J796&gt;0),(J796-H796)/H796,"")</f>
        <v/>
      </c>
      <c r="L796" s="13"/>
      <c r="M796" s="16" t="str">
        <f>IF(AND(J796&gt;0,L796&gt;0),(L796-J796)/J796,IF(AND(H796&gt;0,L796&gt;0),(L796-H796)/H796,""))</f>
        <v/>
      </c>
      <c r="N796" s="14">
        <v>45714</v>
      </c>
      <c r="O796" s="13">
        <v>3850</v>
      </c>
      <c r="P796" s="16" t="str">
        <f>IF(AND(L796&gt;0,O796&gt;0),(O796-L796)/L796,"")</f>
        <v/>
      </c>
      <c r="Q796" s="18"/>
      <c r="R796" s="18">
        <v>1</v>
      </c>
      <c r="S796" s="10">
        <f>IF(N796&gt;0,TODAY()-N796,"")</f>
        <v>397</v>
      </c>
    </row>
    <row r="797" ht="17" customHeight="1" spans="1:19" x14ac:dyDescent="0.25">
      <c r="A797" s="3" t="s">
        <v>20</v>
      </c>
      <c r="B797" s="3" t="s">
        <v>1465</v>
      </c>
      <c r="C797" s="3" t="s">
        <v>1613</v>
      </c>
      <c r="D797" s="3" t="s">
        <v>1614</v>
      </c>
      <c r="E797" s="4">
        <v>119</v>
      </c>
      <c r="F797" s="5">
        <v>1658.6764705882354</v>
      </c>
      <c r="G797" s="6">
        <v>45737</v>
      </c>
      <c r="H797" s="5">
        <v>1505</v>
      </c>
      <c r="I797" s="7" t="s">
        <v>60</v>
      </c>
      <c r="J797" s="5">
        <v>1715</v>
      </c>
      <c r="K797" s="22">
        <f>IF(AND(H797&gt;0,J797&gt;0),(J797-H797)/H797,"")</f>
        <v>0.13953488372093023</v>
      </c>
      <c r="L797" s="5">
        <v>1820</v>
      </c>
      <c r="M797" s="24">
        <f>IF(AND(J797&gt;0,L797&gt;0),(L797-J797)/J797,IF(AND(H797&gt;0,L797&gt;0),(L797-H797)/H797,""))</f>
        <v>0.061224489795918366</v>
      </c>
      <c r="N797" s="6">
        <v>46098</v>
      </c>
      <c r="O797" s="5">
        <v>1820</v>
      </c>
      <c r="P797" s="24">
        <f>IF(AND(L797&gt;0,O797&gt;0),(O797-L797)/L797,"")</f>
        <v>0</v>
      </c>
      <c r="Q797" s="9">
        <v>24</v>
      </c>
      <c r="R797" s="9">
        <v>16</v>
      </c>
      <c r="S797" s="9">
        <f>IF(N797&gt;0,TODAY()-N797,"")</f>
        <v>13</v>
      </c>
    </row>
    <row r="798" ht="17" customHeight="1" spans="1:19" x14ac:dyDescent="0.25">
      <c r="A798" s="11" t="s">
        <v>20</v>
      </c>
      <c r="B798" s="11" t="s">
        <v>1465</v>
      </c>
      <c r="C798" s="11" t="s">
        <v>1615</v>
      </c>
      <c r="D798" s="11" t="s">
        <v>1616</v>
      </c>
      <c r="E798" s="12">
        <v>28</v>
      </c>
      <c r="F798" s="13">
        <v>4455.637857142857</v>
      </c>
      <c r="G798" s="14">
        <v>45670</v>
      </c>
      <c r="H798" s="13">
        <v>4184.52</v>
      </c>
      <c r="I798" s="15" t="s">
        <v>24</v>
      </c>
      <c r="J798" s="13"/>
      <c r="K798" s="16" t="str">
        <f>IF(AND(H798&gt;0,J798&gt;0),(J798-H798)/H798,"")</f>
        <v/>
      </c>
      <c r="L798" s="13"/>
      <c r="M798" s="16" t="str">
        <f>IF(AND(J798&gt;0,L798&gt;0),(L798-J798)/J798,IF(AND(H798&gt;0,L798&gt;0),(L798-H798)/H798,""))</f>
        <v/>
      </c>
      <c r="N798" s="14">
        <v>45898</v>
      </c>
      <c r="O798" s="13">
        <v>6431.67</v>
      </c>
      <c r="P798" s="16" t="str">
        <f>IF(AND(L798&gt;0,O798&gt;0),(O798-L798)/L798,"")</f>
        <v/>
      </c>
      <c r="Q798" s="18">
        <v>76</v>
      </c>
      <c r="R798" s="18">
        <v>4</v>
      </c>
      <c r="S798" s="10">
        <f>IF(N798&gt;0,TODAY()-N798,"")</f>
        <v>213</v>
      </c>
    </row>
    <row r="799" ht="17" customHeight="1" spans="1:19" x14ac:dyDescent="0.25">
      <c r="A799" s="3" t="s">
        <v>20</v>
      </c>
      <c r="B799" s="3" t="s">
        <v>1465</v>
      </c>
      <c r="C799" s="3" t="s">
        <v>1617</v>
      </c>
      <c r="D799" s="3" t="s">
        <v>1618</v>
      </c>
      <c r="E799" s="4">
        <v>450</v>
      </c>
      <c r="F799" s="5">
        <v>38.55555555555556</v>
      </c>
      <c r="G799" s="6">
        <v>45713</v>
      </c>
      <c r="H799" s="5">
        <v>30</v>
      </c>
      <c r="I799" s="7" t="s">
        <v>57</v>
      </c>
      <c r="J799" s="5">
        <v>41</v>
      </c>
      <c r="K799" s="23">
        <f>IF(AND(H799&gt;0,J799&gt;0),(J799-H799)/H799,"")</f>
        <v>0.36666666666666664</v>
      </c>
      <c r="L799" s="5">
        <v>41</v>
      </c>
      <c r="M799" s="24">
        <f>IF(AND(J799&gt;0,L799&gt;0),(L799-J799)/J799,IF(AND(H799&gt;0,L799&gt;0),(L799-H799)/H799,""))</f>
        <v>0</v>
      </c>
      <c r="N799" s="6">
        <v>46091</v>
      </c>
      <c r="O799" s="5">
        <v>41</v>
      </c>
      <c r="P799" s="24">
        <f>IF(AND(L799&gt;0,O799&gt;0),(O799-L799)/L799,"")</f>
        <v>0</v>
      </c>
      <c r="Q799" s="9">
        <v>63</v>
      </c>
      <c r="R799" s="9">
        <v>7</v>
      </c>
      <c r="S799" s="9">
        <f>IF(N799&gt;0,TODAY()-N799,"")</f>
        <v>20</v>
      </c>
    </row>
    <row r="800" ht="17" customHeight="1" spans="1:19" x14ac:dyDescent="0.25">
      <c r="A800" s="11" t="s">
        <v>20</v>
      </c>
      <c r="B800" s="11" t="s">
        <v>1465</v>
      </c>
      <c r="C800" s="11" t="s">
        <v>1619</v>
      </c>
      <c r="D800" s="11" t="s">
        <v>1620</v>
      </c>
      <c r="E800" s="12">
        <v>750</v>
      </c>
      <c r="F800" s="13">
        <v>60.84242666666667</v>
      </c>
      <c r="G800" s="14">
        <v>45692</v>
      </c>
      <c r="H800" s="13">
        <v>52</v>
      </c>
      <c r="I800" s="15" t="s">
        <v>60</v>
      </c>
      <c r="J800" s="13">
        <v>70.27</v>
      </c>
      <c r="K800" s="23">
        <f>IF(AND(H800&gt;0,J800&gt;0),(J800-H800)/H800,"")</f>
        <v>0.35134615384615375</v>
      </c>
      <c r="L800" s="13">
        <v>71.74</v>
      </c>
      <c r="M800" s="17">
        <f>IF(AND(J800&gt;0,L800&gt;0),(L800-J800)/J800,IF(AND(H800&gt;0,L800&gt;0),(L800-H800)/H800,""))</f>
        <v>0.02091931122812009</v>
      </c>
      <c r="N800" s="14">
        <v>46091</v>
      </c>
      <c r="O800" s="13">
        <v>73.61</v>
      </c>
      <c r="P800" s="17">
        <f>IF(AND(L800&gt;0,O800&gt;0),(O800-L800)/L800,"")</f>
        <v>0.026066350710900535</v>
      </c>
      <c r="Q800" s="18">
        <v>44</v>
      </c>
      <c r="R800" s="18">
        <v>10</v>
      </c>
      <c r="S800" s="18">
        <f>IF(N800&gt;0,TODAY()-N800,"")</f>
        <v>20</v>
      </c>
    </row>
    <row r="801" ht="17" customHeight="1" spans="1:19" x14ac:dyDescent="0.25">
      <c r="A801" s="3" t="s">
        <v>20</v>
      </c>
      <c r="B801" s="3" t="s">
        <v>1465</v>
      </c>
      <c r="C801" s="3" t="s">
        <v>1621</v>
      </c>
      <c r="D801" s="3" t="s">
        <v>1622</v>
      </c>
      <c r="E801" s="4">
        <v>50</v>
      </c>
      <c r="F801" s="5">
        <v>94.04</v>
      </c>
      <c r="G801" s="6">
        <v>46064</v>
      </c>
      <c r="H801" s="5">
        <v>94.04</v>
      </c>
      <c r="I801" s="7" t="s">
        <v>24</v>
      </c>
      <c r="J801" s="5"/>
      <c r="K801" s="8" t="str">
        <f>IF(AND(H801&gt;0,J801&gt;0),(J801-H801)/H801,"")</f>
        <v/>
      </c>
      <c r="L801" s="5"/>
      <c r="M801" s="8" t="str">
        <f>IF(AND(J801&gt;0,L801&gt;0),(L801-J801)/J801,IF(AND(H801&gt;0,L801&gt;0),(L801-H801)/H801,""))</f>
        <v/>
      </c>
      <c r="N801" s="6">
        <v>46064</v>
      </c>
      <c r="O801" s="5">
        <v>94.04</v>
      </c>
      <c r="P801" s="24">
        <f>IF(AND(L801&gt;0,O801&gt;0),(O801-L801)/L801,"")</f>
        <v>0</v>
      </c>
      <c r="Q801" s="9"/>
      <c r="R801" s="9">
        <v>1</v>
      </c>
      <c r="S801" s="9">
        <f>IF(N801&gt;0,TODAY()-N801,"")</f>
        <v>47</v>
      </c>
    </row>
    <row r="802" ht="17" customHeight="1" spans="1:19" x14ac:dyDescent="0.25">
      <c r="A802" s="11" t="s">
        <v>20</v>
      </c>
      <c r="B802" s="11" t="s">
        <v>1465</v>
      </c>
      <c r="C802" s="11" t="s">
        <v>1623</v>
      </c>
      <c r="D802" s="11" t="s">
        <v>1624</v>
      </c>
      <c r="E802" s="12">
        <v>60</v>
      </c>
      <c r="F802" s="13">
        <v>80.94866666666667</v>
      </c>
      <c r="G802" s="14">
        <v>45743</v>
      </c>
      <c r="H802" s="13">
        <v>71.69</v>
      </c>
      <c r="I802" s="15" t="s">
        <v>24</v>
      </c>
      <c r="J802" s="13"/>
      <c r="K802" s="16" t="str">
        <f>IF(AND(H802&gt;0,J802&gt;0),(J802-H802)/H802,"")</f>
        <v/>
      </c>
      <c r="L802" s="13"/>
      <c r="M802" s="16" t="str">
        <f>IF(AND(J802&gt;0,L802&gt;0),(L802-J802)/J802,IF(AND(H802&gt;0,L802&gt;0),(L802-H802)/H802,""))</f>
        <v/>
      </c>
      <c r="N802" s="14">
        <v>45859</v>
      </c>
      <c r="O802" s="13">
        <v>89.61</v>
      </c>
      <c r="P802" s="16" t="str">
        <f>IF(AND(L802&gt;0,O802&gt;0),(O802-L802)/L802,"")</f>
        <v/>
      </c>
      <c r="Q802" s="18">
        <v>116</v>
      </c>
      <c r="R802" s="18">
        <v>2</v>
      </c>
      <c r="S802" s="10">
        <f>IF(N802&gt;0,TODAY()-N802,"")</f>
        <v>252</v>
      </c>
    </row>
    <row r="803" ht="17" customHeight="1" spans="1:19" x14ac:dyDescent="0.25">
      <c r="A803" s="3" t="s">
        <v>20</v>
      </c>
      <c r="B803" s="3" t="s">
        <v>1465</v>
      </c>
      <c r="C803" s="3" t="s">
        <v>1625</v>
      </c>
      <c r="D803" s="3" t="s">
        <v>1626</v>
      </c>
      <c r="E803" s="4">
        <v>900</v>
      </c>
      <c r="F803" s="5">
        <v>22.72222222222222</v>
      </c>
      <c r="G803" s="6">
        <v>45692</v>
      </c>
      <c r="H803" s="5">
        <v>21</v>
      </c>
      <c r="I803" s="7" t="s">
        <v>60</v>
      </c>
      <c r="J803" s="5">
        <v>22.5</v>
      </c>
      <c r="K803" s="24">
        <f>IF(AND(H803&gt;0,J803&gt;0),(J803-H803)/H803,"")</f>
        <v>0.07142857142857142</v>
      </c>
      <c r="L803" s="5">
        <v>22.5</v>
      </c>
      <c r="M803" s="24">
        <f>IF(AND(J803&gt;0,L803&gt;0),(L803-J803)/J803,IF(AND(H803&gt;0,L803&gt;0),(L803-H803)/H803,""))</f>
        <v>0</v>
      </c>
      <c r="N803" s="6">
        <v>46049</v>
      </c>
      <c r="O803" s="5">
        <v>22.5</v>
      </c>
      <c r="P803" s="8" t="str">
        <f>IF(AND(L803&gt;0,O803&gt;0),(O803-L803)/L803,"")</f>
        <v/>
      </c>
      <c r="Q803" s="9">
        <v>60</v>
      </c>
      <c r="R803" s="9">
        <v>7</v>
      </c>
      <c r="S803" s="19">
        <f>IF(N803&gt;0,TODAY()-N803,"")</f>
        <v>62</v>
      </c>
    </row>
    <row r="804" ht="17" customHeight="1" spans="1:19" x14ac:dyDescent="0.25">
      <c r="A804" s="11" t="s">
        <v>20</v>
      </c>
      <c r="B804" s="11" t="s">
        <v>1465</v>
      </c>
      <c r="C804" s="11" t="s">
        <v>1627</v>
      </c>
      <c r="D804" s="11" t="s">
        <v>1628</v>
      </c>
      <c r="E804" s="12">
        <v>1300</v>
      </c>
      <c r="F804" s="13">
        <v>21.576923076923077</v>
      </c>
      <c r="G804" s="14">
        <v>45692</v>
      </c>
      <c r="H804" s="13">
        <v>21</v>
      </c>
      <c r="I804" s="15" t="s">
        <v>60</v>
      </c>
      <c r="J804" s="13">
        <v>22.5</v>
      </c>
      <c r="K804" s="17">
        <f>IF(AND(H804&gt;0,J804&gt;0),(J804-H804)/H804,"")</f>
        <v>0.07142857142857142</v>
      </c>
      <c r="L804" s="13">
        <v>22.5</v>
      </c>
      <c r="M804" s="17">
        <f>IF(AND(J804&gt;0,L804&gt;0),(L804-J804)/J804,IF(AND(H804&gt;0,L804&gt;0),(L804-H804)/H804,""))</f>
        <v>0</v>
      </c>
      <c r="N804" s="14">
        <v>46049</v>
      </c>
      <c r="O804" s="13">
        <v>22.5</v>
      </c>
      <c r="P804" s="16" t="str">
        <f>IF(AND(L804&gt;0,O804&gt;0),(O804-L804)/L804,"")</f>
        <v/>
      </c>
      <c r="Q804" s="18">
        <v>40</v>
      </c>
      <c r="R804" s="18">
        <v>10</v>
      </c>
      <c r="S804" s="19">
        <f>IF(N804&gt;0,TODAY()-N804,"")</f>
        <v>62</v>
      </c>
    </row>
    <row r="805" ht="17" customHeight="1" spans="1:19" x14ac:dyDescent="0.25">
      <c r="A805" s="3" t="s">
        <v>20</v>
      </c>
      <c r="B805" s="3" t="s">
        <v>1465</v>
      </c>
      <c r="C805" s="3" t="s">
        <v>1629</v>
      </c>
      <c r="D805" s="3" t="s">
        <v>1630</v>
      </c>
      <c r="E805" s="4">
        <v>100</v>
      </c>
      <c r="F805" s="5">
        <v>37</v>
      </c>
      <c r="G805" s="6">
        <v>46027</v>
      </c>
      <c r="H805" s="5">
        <v>37</v>
      </c>
      <c r="I805" s="7" t="s">
        <v>24</v>
      </c>
      <c r="J805" s="5"/>
      <c r="K805" s="8" t="str">
        <f>IF(AND(H805&gt;0,J805&gt;0),(J805-H805)/H805,"")</f>
        <v/>
      </c>
      <c r="L805" s="5">
        <v>37</v>
      </c>
      <c r="M805" s="24">
        <f>IF(AND(J805&gt;0,L805&gt;0),(L805-J805)/J805,IF(AND(H805&gt;0,L805&gt;0),(L805-H805)/H805,""))</f>
        <v>0</v>
      </c>
      <c r="N805" s="6">
        <v>46064</v>
      </c>
      <c r="O805" s="5">
        <v>37</v>
      </c>
      <c r="P805" s="24">
        <f>IF(AND(L805&gt;0,O805&gt;0),(O805-L805)/L805,"")</f>
        <v>0</v>
      </c>
      <c r="Q805" s="9">
        <v>37</v>
      </c>
      <c r="R805" s="9">
        <v>2</v>
      </c>
      <c r="S805" s="9">
        <f>IF(N805&gt;0,TODAY()-N805,"")</f>
        <v>47</v>
      </c>
    </row>
    <row r="806" ht="17" customHeight="1" spans="1:19" x14ac:dyDescent="0.25">
      <c r="A806" s="11" t="s">
        <v>20</v>
      </c>
      <c r="B806" s="11" t="s">
        <v>1465</v>
      </c>
      <c r="C806" s="11" t="s">
        <v>1631</v>
      </c>
      <c r="D806" s="11" t="s">
        <v>1632</v>
      </c>
      <c r="E806" s="12">
        <v>450</v>
      </c>
      <c r="F806" s="13">
        <v>18.333333333333332</v>
      </c>
      <c r="G806" s="14">
        <v>45854</v>
      </c>
      <c r="H806" s="13">
        <v>17</v>
      </c>
      <c r="I806" s="15" t="s">
        <v>57</v>
      </c>
      <c r="J806" s="13">
        <v>17</v>
      </c>
      <c r="K806" s="17">
        <f>IF(AND(H806&gt;0,J806&gt;0),(J806-H806)/H806,"")</f>
        <v>0</v>
      </c>
      <c r="L806" s="13">
        <v>20</v>
      </c>
      <c r="M806" s="20">
        <f>IF(AND(J806&gt;0,L806&gt;0),(L806-J806)/J806,IF(AND(H806&gt;0,L806&gt;0),(L806-H806)/H806,""))</f>
        <v>0.17647058823529413</v>
      </c>
      <c r="N806" s="14">
        <v>46094</v>
      </c>
      <c r="O806" s="13">
        <v>20</v>
      </c>
      <c r="P806" s="17">
        <f>IF(AND(L806&gt;0,O806&gt;0),(O806-L806)/L806,"")</f>
        <v>0</v>
      </c>
      <c r="Q806" s="18">
        <v>48</v>
      </c>
      <c r="R806" s="18">
        <v>6</v>
      </c>
      <c r="S806" s="18">
        <f>IF(N806&gt;0,TODAY()-N806,"")</f>
        <v>17</v>
      </c>
    </row>
    <row r="807" ht="17" customHeight="1" spans="1:19" x14ac:dyDescent="0.25">
      <c r="A807" s="3" t="s">
        <v>20</v>
      </c>
      <c r="B807" s="3" t="s">
        <v>1465</v>
      </c>
      <c r="C807" s="3" t="s">
        <v>1633</v>
      </c>
      <c r="D807" s="3" t="s">
        <v>1634</v>
      </c>
      <c r="E807" s="4">
        <v>2</v>
      </c>
      <c r="F807" s="5">
        <v>6363.3</v>
      </c>
      <c r="G807" s="6">
        <v>45702</v>
      </c>
      <c r="H807" s="5">
        <v>5826.6</v>
      </c>
      <c r="I807" s="7" t="s">
        <v>24</v>
      </c>
      <c r="J807" s="5"/>
      <c r="K807" s="8" t="str">
        <f>IF(AND(H807&gt;0,J807&gt;0),(J807-H807)/H807,"")</f>
        <v/>
      </c>
      <c r="L807" s="5"/>
      <c r="M807" s="8" t="str">
        <f>IF(AND(J807&gt;0,L807&gt;0),(L807-J807)/J807,IF(AND(H807&gt;0,L807&gt;0),(L807-H807)/H807,""))</f>
        <v/>
      </c>
      <c r="N807" s="6">
        <v>45824</v>
      </c>
      <c r="O807" s="5">
        <v>6900</v>
      </c>
      <c r="P807" s="8" t="str">
        <f>IF(AND(L807&gt;0,O807&gt;0),(O807-L807)/L807,"")</f>
        <v/>
      </c>
      <c r="Q807" s="9">
        <v>122</v>
      </c>
      <c r="R807" s="9">
        <v>2</v>
      </c>
      <c r="S807" s="10">
        <f>IF(N807&gt;0,TODAY()-N807,"")</f>
        <v>287</v>
      </c>
    </row>
    <row r="808" ht="17" customHeight="1" spans="1:19" x14ac:dyDescent="0.25">
      <c r="A808" s="11" t="s">
        <v>20</v>
      </c>
      <c r="B808" s="11" t="s">
        <v>1465</v>
      </c>
      <c r="C808" s="11" t="s">
        <v>1635</v>
      </c>
      <c r="D808" s="11" t="s">
        <v>1636</v>
      </c>
      <c r="E808" s="12">
        <v>2</v>
      </c>
      <c r="F808" s="13">
        <v>16000</v>
      </c>
      <c r="G808" s="14">
        <v>45694</v>
      </c>
      <c r="H808" s="13">
        <v>16000</v>
      </c>
      <c r="I808" s="15" t="s">
        <v>24</v>
      </c>
      <c r="J808" s="13"/>
      <c r="K808" s="16" t="str">
        <f>IF(AND(H808&gt;0,J808&gt;0),(J808-H808)/H808,"")</f>
        <v/>
      </c>
      <c r="L808" s="13"/>
      <c r="M808" s="16" t="str">
        <f>IF(AND(J808&gt;0,L808&gt;0),(L808-J808)/J808,IF(AND(H808&gt;0,L808&gt;0),(L808-H808)/H808,""))</f>
        <v/>
      </c>
      <c r="N808" s="14">
        <v>45694</v>
      </c>
      <c r="O808" s="13">
        <v>16000</v>
      </c>
      <c r="P808" s="16" t="str">
        <f>IF(AND(L808&gt;0,O808&gt;0),(O808-L808)/L808,"")</f>
        <v/>
      </c>
      <c r="Q808" s="18"/>
      <c r="R808" s="18">
        <v>1</v>
      </c>
      <c r="S808" s="10">
        <f>IF(N808&gt;0,TODAY()-N808,"")</f>
        <v>417</v>
      </c>
    </row>
    <row r="809" ht="17" customHeight="1" spans="1:19" x14ac:dyDescent="0.25">
      <c r="A809" s="3" t="s">
        <v>20</v>
      </c>
      <c r="B809" s="3" t="s">
        <v>1465</v>
      </c>
      <c r="C809" s="3" t="s">
        <v>1637</v>
      </c>
      <c r="D809" s="3" t="s">
        <v>1638</v>
      </c>
      <c r="E809" s="4">
        <v>10</v>
      </c>
      <c r="F809" s="5">
        <v>3075.018236</v>
      </c>
      <c r="G809" s="6">
        <v>45891</v>
      </c>
      <c r="H809" s="5">
        <v>3075.02</v>
      </c>
      <c r="I809" s="7" t="s">
        <v>24</v>
      </c>
      <c r="J809" s="5"/>
      <c r="K809" s="8" t="str">
        <f>IF(AND(H809&gt;0,J809&gt;0),(J809-H809)/H809,"")</f>
        <v/>
      </c>
      <c r="L809" s="5"/>
      <c r="M809" s="8" t="str">
        <f>IF(AND(J809&gt;0,L809&gt;0),(L809-J809)/J809,IF(AND(H809&gt;0,L809&gt;0),(L809-H809)/H809,""))</f>
        <v/>
      </c>
      <c r="N809" s="6">
        <v>45891</v>
      </c>
      <c r="O809" s="5">
        <v>3075.02</v>
      </c>
      <c r="P809" s="8" t="str">
        <f>IF(AND(L809&gt;0,O809&gt;0),(O809-L809)/L809,"")</f>
        <v/>
      </c>
      <c r="Q809" s="9"/>
      <c r="R809" s="9">
        <v>1</v>
      </c>
      <c r="S809" s="10">
        <f>IF(N809&gt;0,TODAY()-N809,"")</f>
        <v>220</v>
      </c>
    </row>
    <row r="810" ht="17" customHeight="1" spans="1:19" x14ac:dyDescent="0.25">
      <c r="A810" s="11" t="s">
        <v>20</v>
      </c>
      <c r="B810" s="11" t="s">
        <v>1465</v>
      </c>
      <c r="C810" s="11" t="s">
        <v>1639</v>
      </c>
      <c r="D810" s="11" t="s">
        <v>1640</v>
      </c>
      <c r="E810" s="12">
        <v>1</v>
      </c>
      <c r="F810" s="13">
        <v>3800</v>
      </c>
      <c r="G810" s="14">
        <v>45702</v>
      </c>
      <c r="H810" s="13">
        <v>3800</v>
      </c>
      <c r="I810" s="15" t="s">
        <v>24</v>
      </c>
      <c r="J810" s="13"/>
      <c r="K810" s="16" t="str">
        <f>IF(AND(H810&gt;0,J810&gt;0),(J810-H810)/H810,"")</f>
        <v/>
      </c>
      <c r="L810" s="13"/>
      <c r="M810" s="16" t="str">
        <f>IF(AND(J810&gt;0,L810&gt;0),(L810-J810)/J810,IF(AND(H810&gt;0,L810&gt;0),(L810-H810)/H810,""))</f>
        <v/>
      </c>
      <c r="N810" s="14">
        <v>45702</v>
      </c>
      <c r="O810" s="13">
        <v>3800</v>
      </c>
      <c r="P810" s="16" t="str">
        <f>IF(AND(L810&gt;0,O810&gt;0),(O810-L810)/L810,"")</f>
        <v/>
      </c>
      <c r="Q810" s="18"/>
      <c r="R810" s="18">
        <v>1</v>
      </c>
      <c r="S810" s="10">
        <f>IF(N810&gt;0,TODAY()-N810,"")</f>
        <v>409</v>
      </c>
    </row>
    <row r="811" ht="17" customHeight="1" spans="1:19" x14ac:dyDescent="0.25">
      <c r="A811" s="3" t="s">
        <v>20</v>
      </c>
      <c r="B811" s="3" t="s">
        <v>1465</v>
      </c>
      <c r="C811" s="3" t="s">
        <v>1641</v>
      </c>
      <c r="D811" s="3" t="s">
        <v>1642</v>
      </c>
      <c r="E811" s="4">
        <v>2</v>
      </c>
      <c r="F811" s="5">
        <v>1400</v>
      </c>
      <c r="G811" s="6">
        <v>45740</v>
      </c>
      <c r="H811" s="5">
        <v>1400</v>
      </c>
      <c r="I811" s="7" t="s">
        <v>60</v>
      </c>
      <c r="J811" s="5">
        <v>1400</v>
      </c>
      <c r="K811" s="24">
        <f>IF(AND(H811&gt;0,J811&gt;0),(J811-H811)/H811,"")</f>
        <v>0</v>
      </c>
      <c r="L811" s="5"/>
      <c r="M811" s="8" t="str">
        <f>IF(AND(J811&gt;0,L811&gt;0),(L811-J811)/J811,IF(AND(H811&gt;0,L811&gt;0),(L811-H811)/H811,""))</f>
        <v/>
      </c>
      <c r="N811" s="6">
        <v>45985</v>
      </c>
      <c r="O811" s="5">
        <v>1400</v>
      </c>
      <c r="P811" s="8" t="str">
        <f>IF(AND(L811&gt;0,O811&gt;0),(O811-L811)/L811,"")</f>
        <v/>
      </c>
      <c r="Q811" s="9">
        <v>245</v>
      </c>
      <c r="R811" s="9">
        <v>2</v>
      </c>
      <c r="S811" s="21">
        <f>IF(N811&gt;0,TODAY()-N811,"")</f>
        <v>126</v>
      </c>
    </row>
    <row r="812" ht="17" customHeight="1" spans="1:19" x14ac:dyDescent="0.25">
      <c r="A812" s="11" t="s">
        <v>20</v>
      </c>
      <c r="B812" s="11" t="s">
        <v>1465</v>
      </c>
      <c r="C812" s="11" t="s">
        <v>1643</v>
      </c>
      <c r="D812" s="11" t="s">
        <v>1644</v>
      </c>
      <c r="E812" s="12">
        <v>1</v>
      </c>
      <c r="F812" s="13">
        <v>240</v>
      </c>
      <c r="G812" s="14">
        <v>45740</v>
      </c>
      <c r="H812" s="13">
        <v>240</v>
      </c>
      <c r="I812" s="15" t="s">
        <v>24</v>
      </c>
      <c r="J812" s="13"/>
      <c r="K812" s="16" t="str">
        <f>IF(AND(H812&gt;0,J812&gt;0),(J812-H812)/H812,"")</f>
        <v/>
      </c>
      <c r="L812" s="13"/>
      <c r="M812" s="16" t="str">
        <f>IF(AND(J812&gt;0,L812&gt;0),(L812-J812)/J812,IF(AND(H812&gt;0,L812&gt;0),(L812-H812)/H812,""))</f>
        <v/>
      </c>
      <c r="N812" s="14">
        <v>45740</v>
      </c>
      <c r="O812" s="13">
        <v>240</v>
      </c>
      <c r="P812" s="16" t="str">
        <f>IF(AND(L812&gt;0,O812&gt;0),(O812-L812)/L812,"")</f>
        <v/>
      </c>
      <c r="Q812" s="18"/>
      <c r="R812" s="18">
        <v>1</v>
      </c>
      <c r="S812" s="10">
        <f>IF(N812&gt;0,TODAY()-N812,"")</f>
        <v>371</v>
      </c>
    </row>
    <row r="813" ht="17" customHeight="1" spans="1:19" x14ac:dyDescent="0.25">
      <c r="A813" s="3" t="s">
        <v>20</v>
      </c>
      <c r="B813" s="3" t="s">
        <v>1465</v>
      </c>
      <c r="C813" s="3" t="s">
        <v>1645</v>
      </c>
      <c r="D813" s="3" t="s">
        <v>1646</v>
      </c>
      <c r="E813" s="4">
        <v>5</v>
      </c>
      <c r="F813" s="5">
        <v>427.592</v>
      </c>
      <c r="G813" s="6">
        <v>45663</v>
      </c>
      <c r="H813" s="5">
        <v>218.98</v>
      </c>
      <c r="I813" s="7" t="s">
        <v>24</v>
      </c>
      <c r="J813" s="5"/>
      <c r="K813" s="8" t="str">
        <f>IF(AND(H813&gt;0,J813&gt;0),(J813-H813)/H813,"")</f>
        <v/>
      </c>
      <c r="L813" s="5"/>
      <c r="M813" s="8" t="str">
        <f>IF(AND(J813&gt;0,L813&gt;0),(L813-J813)/J813,IF(AND(H813&gt;0,L813&gt;0),(L813-H813)/H813,""))</f>
        <v/>
      </c>
      <c r="N813" s="6">
        <v>45930</v>
      </c>
      <c r="O813" s="5">
        <v>566.67</v>
      </c>
      <c r="P813" s="8" t="str">
        <f>IF(AND(L813&gt;0,O813&gt;0),(O813-L813)/L813,"")</f>
        <v/>
      </c>
      <c r="Q813" s="9">
        <v>267</v>
      </c>
      <c r="R813" s="9">
        <v>2</v>
      </c>
      <c r="S813" s="10">
        <f>IF(N813&gt;0,TODAY()-N813,"")</f>
        <v>181</v>
      </c>
    </row>
    <row r="814" ht="17" customHeight="1" spans="1:19" x14ac:dyDescent="0.25">
      <c r="A814" s="11" t="s">
        <v>20</v>
      </c>
      <c r="B814" s="11" t="s">
        <v>1465</v>
      </c>
      <c r="C814" s="11" t="s">
        <v>1647</v>
      </c>
      <c r="D814" s="11" t="s">
        <v>1648</v>
      </c>
      <c r="E814" s="12">
        <v>242</v>
      </c>
      <c r="F814" s="13">
        <v>59.96644628099173</v>
      </c>
      <c r="G814" s="14">
        <v>45687</v>
      </c>
      <c r="H814" s="13">
        <v>60</v>
      </c>
      <c r="I814" s="15" t="s">
        <v>60</v>
      </c>
      <c r="J814" s="13">
        <v>58.33</v>
      </c>
      <c r="K814" s="25">
        <f>IF(AND(H814&gt;0,J814&gt;0),(J814-H814)/H814,"")</f>
        <v>-0.027833333333333363</v>
      </c>
      <c r="L814" s="13">
        <v>65.42</v>
      </c>
      <c r="M814" s="20">
        <f>IF(AND(J814&gt;0,L814&gt;0),(L814-J814)/J814,IF(AND(H814&gt;0,L814&gt;0),(L814-H814)/H814,""))</f>
        <v>0.12154980284587696</v>
      </c>
      <c r="N814" s="14">
        <v>46044</v>
      </c>
      <c r="O814" s="13">
        <v>65.42</v>
      </c>
      <c r="P814" s="16" t="str">
        <f>IF(AND(L814&gt;0,O814&gt;0),(O814-L814)/L814,"")</f>
        <v/>
      </c>
      <c r="Q814" s="18">
        <v>51</v>
      </c>
      <c r="R814" s="18">
        <v>8</v>
      </c>
      <c r="S814" s="19">
        <f>IF(N814&gt;0,TODAY()-N814,"")</f>
        <v>67</v>
      </c>
    </row>
    <row r="815" ht="17" customHeight="1" spans="1:19" x14ac:dyDescent="0.25">
      <c r="A815" s="3" t="s">
        <v>20</v>
      </c>
      <c r="B815" s="3" t="s">
        <v>1465</v>
      </c>
      <c r="C815" s="3" t="s">
        <v>1649</v>
      </c>
      <c r="D815" s="3" t="s">
        <v>1650</v>
      </c>
      <c r="E815" s="4">
        <v>20</v>
      </c>
      <c r="F815" s="5">
        <v>540</v>
      </c>
      <c r="G815" s="6">
        <v>45740</v>
      </c>
      <c r="H815" s="5">
        <v>550</v>
      </c>
      <c r="I815" s="7" t="s">
        <v>60</v>
      </c>
      <c r="J815" s="5">
        <v>600</v>
      </c>
      <c r="K815" s="24">
        <f>IF(AND(H815&gt;0,J815&gt;0),(J815-H815)/H815,"")</f>
        <v>0.09090909090909091</v>
      </c>
      <c r="L815" s="5"/>
      <c r="M815" s="8" t="str">
        <f>IF(AND(J815&gt;0,L815&gt;0),(L815-J815)/J815,IF(AND(H815&gt;0,L815&gt;0),(L815-H815)/H815,""))</f>
        <v/>
      </c>
      <c r="N815" s="6">
        <v>46059</v>
      </c>
      <c r="O815" s="5">
        <v>250</v>
      </c>
      <c r="P815" s="26">
        <f>IF(AND(L815&gt;0,O815&gt;0),(O815-L815)/L815,"")</f>
        <v>-0.5833333333333334</v>
      </c>
      <c r="Q815" s="9">
        <v>80</v>
      </c>
      <c r="R815" s="9">
        <v>5</v>
      </c>
      <c r="S815" s="9">
        <f>IF(N815&gt;0,TODAY()-N815,"")</f>
        <v>52</v>
      </c>
    </row>
    <row r="816" ht="17" customHeight="1" spans="1:19" x14ac:dyDescent="0.25">
      <c r="A816" s="11" t="s">
        <v>20</v>
      </c>
      <c r="B816" s="11" t="s">
        <v>1465</v>
      </c>
      <c r="C816" s="11" t="s">
        <v>1651</v>
      </c>
      <c r="D816" s="11" t="s">
        <v>1652</v>
      </c>
      <c r="E816" s="12">
        <v>17</v>
      </c>
      <c r="F816" s="13">
        <v>216.47058823529412</v>
      </c>
      <c r="G816" s="14">
        <v>45740</v>
      </c>
      <c r="H816" s="13">
        <v>240</v>
      </c>
      <c r="I816" s="15" t="s">
        <v>60</v>
      </c>
      <c r="J816" s="13">
        <v>200</v>
      </c>
      <c r="K816" s="25">
        <f>IF(AND(H816&gt;0,J816&gt;0),(J816-H816)/H816,"")</f>
        <v>-0.16666666666666663</v>
      </c>
      <c r="L816" s="13"/>
      <c r="M816" s="16" t="str">
        <f>IF(AND(J816&gt;0,L816&gt;0),(L816-J816)/J816,IF(AND(H816&gt;0,L816&gt;0),(L816-H816)/H816,""))</f>
        <v/>
      </c>
      <c r="N816" s="14">
        <v>46064</v>
      </c>
      <c r="O816" s="13">
        <v>240</v>
      </c>
      <c r="P816" s="20">
        <f>IF(AND(L816&gt;0,O816&gt;0),(O816-L816)/L816,"")</f>
        <v>0.2</v>
      </c>
      <c r="Q816" s="18">
        <v>108</v>
      </c>
      <c r="R816" s="18">
        <v>4</v>
      </c>
      <c r="S816" s="18">
        <f>IF(N816&gt;0,TODAY()-N816,"")</f>
        <v>47</v>
      </c>
    </row>
    <row r="817" ht="17" customHeight="1" spans="1:19" x14ac:dyDescent="0.25">
      <c r="A817" s="3" t="s">
        <v>20</v>
      </c>
      <c r="B817" s="3" t="s">
        <v>1465</v>
      </c>
      <c r="C817" s="3" t="s">
        <v>1653</v>
      </c>
      <c r="D817" s="3" t="s">
        <v>1654</v>
      </c>
      <c r="E817" s="4">
        <v>2</v>
      </c>
      <c r="F817" s="5">
        <v>1334.995</v>
      </c>
      <c r="G817" s="6">
        <v>45729</v>
      </c>
      <c r="H817" s="5">
        <v>1334.99</v>
      </c>
      <c r="I817" s="7" t="s">
        <v>24</v>
      </c>
      <c r="J817" s="5"/>
      <c r="K817" s="8" t="str">
        <f>IF(AND(H817&gt;0,J817&gt;0),(J817-H817)/H817,"")</f>
        <v/>
      </c>
      <c r="L817" s="5"/>
      <c r="M817" s="8" t="str">
        <f>IF(AND(J817&gt;0,L817&gt;0),(L817-J817)/J817,IF(AND(H817&gt;0,L817&gt;0),(L817-H817)/H817,""))</f>
        <v/>
      </c>
      <c r="N817" s="6">
        <v>45729</v>
      </c>
      <c r="O817" s="5">
        <v>1334.99</v>
      </c>
      <c r="P817" s="8" t="str">
        <f>IF(AND(L817&gt;0,O817&gt;0),(O817-L817)/L817,"")</f>
        <v/>
      </c>
      <c r="Q817" s="9"/>
      <c r="R817" s="9">
        <v>1</v>
      </c>
      <c r="S817" s="10">
        <f>IF(N817&gt;0,TODAY()-N817,"")</f>
        <v>382</v>
      </c>
    </row>
    <row r="818" ht="17" customHeight="1" spans="1:19" x14ac:dyDescent="0.25">
      <c r="A818" s="11" t="s">
        <v>20</v>
      </c>
      <c r="B818" s="11" t="s">
        <v>1465</v>
      </c>
      <c r="C818" s="11" t="s">
        <v>1655</v>
      </c>
      <c r="D818" s="11" t="s">
        <v>1656</v>
      </c>
      <c r="E818" s="12">
        <v>121</v>
      </c>
      <c r="F818" s="13">
        <v>1714.5987487603304</v>
      </c>
      <c r="G818" s="14">
        <v>45677</v>
      </c>
      <c r="H818" s="13">
        <v>1367.27</v>
      </c>
      <c r="I818" s="15" t="s">
        <v>54</v>
      </c>
      <c r="J818" s="13">
        <v>1740.64</v>
      </c>
      <c r="K818" s="23">
        <f>IF(AND(H818&gt;0,J818&gt;0),(J818-H818)/H818,"")</f>
        <v>0.2730770074674352</v>
      </c>
      <c r="L818" s="13"/>
      <c r="M818" s="16" t="str">
        <f>IF(AND(J818&gt;0,L818&gt;0),(L818-J818)/J818,IF(AND(H818&gt;0,L818&gt;0),(L818-H818)/H818,""))</f>
        <v/>
      </c>
      <c r="N818" s="14">
        <v>46106</v>
      </c>
      <c r="O818" s="13">
        <v>1770.58</v>
      </c>
      <c r="P818" s="17">
        <f>IF(AND(L818&gt;0,O818&gt;0),(O818-L818)/L818,"")</f>
        <v>0.01720056990532208</v>
      </c>
      <c r="Q818" s="18">
        <v>27</v>
      </c>
      <c r="R818" s="18">
        <v>17</v>
      </c>
      <c r="S818" s="18">
        <f>IF(N818&gt;0,TODAY()-N818,"")</f>
        <v>5</v>
      </c>
    </row>
    <row r="819" ht="17" customHeight="1" spans="1:19" x14ac:dyDescent="0.25">
      <c r="A819" s="3" t="s">
        <v>20</v>
      </c>
      <c r="B819" s="3" t="s">
        <v>1465</v>
      </c>
      <c r="C819" s="3" t="s">
        <v>1657</v>
      </c>
      <c r="D819" s="3" t="s">
        <v>1658</v>
      </c>
      <c r="E819" s="4">
        <v>21</v>
      </c>
      <c r="F819" s="5">
        <v>1477.7104761904764</v>
      </c>
      <c r="G819" s="6">
        <v>45677</v>
      </c>
      <c r="H819" s="5">
        <v>1221.42</v>
      </c>
      <c r="I819" s="7" t="s">
        <v>54</v>
      </c>
      <c r="J819" s="5">
        <v>1695.23</v>
      </c>
      <c r="K819" s="23">
        <f>IF(AND(H819&gt;0,J819&gt;0),(J819-H819)/H819,"")</f>
        <v>0.38791734211000306</v>
      </c>
      <c r="L819" s="5"/>
      <c r="M819" s="8" t="str">
        <f>IF(AND(J819&gt;0,L819&gt;0),(L819-J819)/J819,IF(AND(H819&gt;0,L819&gt;0),(L819-H819)/H819,""))</f>
        <v/>
      </c>
      <c r="N819" s="6">
        <v>46106</v>
      </c>
      <c r="O819" s="5">
        <v>1796.24</v>
      </c>
      <c r="P819" s="24">
        <f>IF(AND(L819&gt;0,O819&gt;0),(O819-L819)/L819,"")</f>
        <v>0.05958483509612265</v>
      </c>
      <c r="Q819" s="9">
        <v>107</v>
      </c>
      <c r="R819" s="9">
        <v>5</v>
      </c>
      <c r="S819" s="9">
        <f>IF(N819&gt;0,TODAY()-N819,"")</f>
        <v>5</v>
      </c>
    </row>
    <row r="820" ht="17" customHeight="1" spans="1:19" x14ac:dyDescent="0.25">
      <c r="A820" s="11" t="s">
        <v>20</v>
      </c>
      <c r="B820" s="11" t="s">
        <v>1465</v>
      </c>
      <c r="C820" s="11" t="s">
        <v>1659</v>
      </c>
      <c r="D820" s="11" t="s">
        <v>1660</v>
      </c>
      <c r="E820" s="12">
        <v>10</v>
      </c>
      <c r="F820" s="13">
        <v>1095.01048</v>
      </c>
      <c r="G820" s="14">
        <v>45891</v>
      </c>
      <c r="H820" s="13">
        <v>1095.01</v>
      </c>
      <c r="I820" s="15" t="s">
        <v>24</v>
      </c>
      <c r="J820" s="13"/>
      <c r="K820" s="16" t="str">
        <f>IF(AND(H820&gt;0,J820&gt;0),(J820-H820)/H820,"")</f>
        <v/>
      </c>
      <c r="L820" s="13"/>
      <c r="M820" s="16" t="str">
        <f>IF(AND(J820&gt;0,L820&gt;0),(L820-J820)/J820,IF(AND(H820&gt;0,L820&gt;0),(L820-H820)/H820,""))</f>
        <v/>
      </c>
      <c r="N820" s="14">
        <v>45891</v>
      </c>
      <c r="O820" s="13">
        <v>1095.01</v>
      </c>
      <c r="P820" s="16" t="str">
        <f>IF(AND(L820&gt;0,O820&gt;0),(O820-L820)/L820,"")</f>
        <v/>
      </c>
      <c r="Q820" s="18"/>
      <c r="R820" s="18">
        <v>1</v>
      </c>
      <c r="S820" s="10">
        <f>IF(N820&gt;0,TODAY()-N820,"")</f>
        <v>220</v>
      </c>
    </row>
    <row r="821" ht="17" customHeight="1" spans="1:19" x14ac:dyDescent="0.25">
      <c r="A821" s="3" t="s">
        <v>20</v>
      </c>
      <c r="B821" s="3" t="s">
        <v>1465</v>
      </c>
      <c r="C821" s="3" t="s">
        <v>1661</v>
      </c>
      <c r="D821" s="3" t="s">
        <v>1662</v>
      </c>
      <c r="E821" s="4">
        <v>273</v>
      </c>
      <c r="F821" s="5">
        <v>111.64835164835165</v>
      </c>
      <c r="G821" s="6">
        <v>45849</v>
      </c>
      <c r="H821" s="5">
        <v>105</v>
      </c>
      <c r="I821" s="7" t="s">
        <v>24</v>
      </c>
      <c r="J821" s="5"/>
      <c r="K821" s="8" t="str">
        <f>IF(AND(H821&gt;0,J821&gt;0),(J821-H821)/H821,"")</f>
        <v/>
      </c>
      <c r="L821" s="5"/>
      <c r="M821" s="8" t="str">
        <f>IF(AND(J821&gt;0,L821&gt;0),(L821-J821)/J821,IF(AND(H821&gt;0,L821&gt;0),(L821-H821)/H821,""))</f>
        <v/>
      </c>
      <c r="N821" s="6">
        <v>46064</v>
      </c>
      <c r="O821" s="5">
        <v>120</v>
      </c>
      <c r="P821" s="22">
        <f>IF(AND(L821&gt;0,O821&gt;0),(O821-L821)/L821,"")</f>
        <v>0.14285714285714285</v>
      </c>
      <c r="Q821" s="9">
        <v>215</v>
      </c>
      <c r="R821" s="9">
        <v>2</v>
      </c>
      <c r="S821" s="9">
        <f>IF(N821&gt;0,TODAY()-N821,"")</f>
        <v>47</v>
      </c>
    </row>
    <row r="822" ht="17" customHeight="1" spans="1:19" x14ac:dyDescent="0.25">
      <c r="A822" s="11" t="s">
        <v>20</v>
      </c>
      <c r="B822" s="11" t="s">
        <v>1465</v>
      </c>
      <c r="C822" s="11" t="s">
        <v>1663</v>
      </c>
      <c r="D822" s="11" t="s">
        <v>1664</v>
      </c>
      <c r="E822" s="12">
        <v>357</v>
      </c>
      <c r="F822" s="13">
        <v>109.2016806722689</v>
      </c>
      <c r="G822" s="14">
        <v>45775</v>
      </c>
      <c r="H822" s="13">
        <v>120</v>
      </c>
      <c r="I822" s="15" t="s">
        <v>24</v>
      </c>
      <c r="J822" s="13"/>
      <c r="K822" s="16" t="str">
        <f>IF(AND(H822&gt;0,J822&gt;0),(J822-H822)/H822,"")</f>
        <v/>
      </c>
      <c r="L822" s="13"/>
      <c r="M822" s="16" t="str">
        <f>IF(AND(J822&gt;0,L822&gt;0),(L822-J822)/J822,IF(AND(H822&gt;0,L822&gt;0),(L822-H822)/H822,""))</f>
        <v/>
      </c>
      <c r="N822" s="14">
        <v>45849</v>
      </c>
      <c r="O822" s="13">
        <v>105</v>
      </c>
      <c r="P822" s="16" t="str">
        <f>IF(AND(L822&gt;0,O822&gt;0),(O822-L822)/L822,"")</f>
        <v/>
      </c>
      <c r="Q822" s="18">
        <v>74</v>
      </c>
      <c r="R822" s="18">
        <v>2</v>
      </c>
      <c r="S822" s="10">
        <f>IF(N822&gt;0,TODAY()-N822,"")</f>
        <v>262</v>
      </c>
    </row>
    <row r="823" ht="17" customHeight="1" spans="1:19" x14ac:dyDescent="0.25">
      <c r="A823" s="3" t="s">
        <v>20</v>
      </c>
      <c r="B823" s="3" t="s">
        <v>1465</v>
      </c>
      <c r="C823" s="3" t="s">
        <v>1665</v>
      </c>
      <c r="D823" s="3" t="s">
        <v>1666</v>
      </c>
      <c r="E823" s="4">
        <v>2</v>
      </c>
      <c r="F823" s="5">
        <v>1575</v>
      </c>
      <c r="G823" s="6">
        <v>45918</v>
      </c>
      <c r="H823" s="5">
        <v>1575</v>
      </c>
      <c r="I823" s="7" t="s">
        <v>24</v>
      </c>
      <c r="J823" s="5"/>
      <c r="K823" s="8" t="str">
        <f>IF(AND(H823&gt;0,J823&gt;0),(J823-H823)/H823,"")</f>
        <v/>
      </c>
      <c r="L823" s="5"/>
      <c r="M823" s="8" t="str">
        <f>IF(AND(J823&gt;0,L823&gt;0),(L823-J823)/J823,IF(AND(H823&gt;0,L823&gt;0),(L823-H823)/H823,""))</f>
        <v/>
      </c>
      <c r="N823" s="6">
        <v>45918</v>
      </c>
      <c r="O823" s="5">
        <v>1575</v>
      </c>
      <c r="P823" s="8" t="str">
        <f>IF(AND(L823&gt;0,O823&gt;0),(O823-L823)/L823,"")</f>
        <v/>
      </c>
      <c r="Q823" s="9"/>
      <c r="R823" s="9">
        <v>1</v>
      </c>
      <c r="S823" s="10">
        <f>IF(N823&gt;0,TODAY()-N823,"")</f>
        <v>193</v>
      </c>
    </row>
    <row r="824" ht="17" customHeight="1" spans="1:19" x14ac:dyDescent="0.25">
      <c r="A824" s="11" t="s">
        <v>20</v>
      </c>
      <c r="B824" s="11" t="s">
        <v>1465</v>
      </c>
      <c r="C824" s="11" t="s">
        <v>1667</v>
      </c>
      <c r="D824" s="11" t="s">
        <v>1668</v>
      </c>
      <c r="E824" s="12">
        <v>5</v>
      </c>
      <c r="F824" s="13">
        <v>350</v>
      </c>
      <c r="G824" s="14">
        <v>45733</v>
      </c>
      <c r="H824" s="13">
        <v>350</v>
      </c>
      <c r="I824" s="15" t="s">
        <v>24</v>
      </c>
      <c r="J824" s="13"/>
      <c r="K824" s="16" t="str">
        <f>IF(AND(H824&gt;0,J824&gt;0),(J824-H824)/H824,"")</f>
        <v/>
      </c>
      <c r="L824" s="13"/>
      <c r="M824" s="16" t="str">
        <f>IF(AND(J824&gt;0,L824&gt;0),(L824-J824)/J824,IF(AND(H824&gt;0,L824&gt;0),(L824-H824)/H824,""))</f>
        <v/>
      </c>
      <c r="N824" s="14">
        <v>45733</v>
      </c>
      <c r="O824" s="13">
        <v>350</v>
      </c>
      <c r="P824" s="16" t="str">
        <f>IF(AND(L824&gt;0,O824&gt;0),(O824-L824)/L824,"")</f>
        <v/>
      </c>
      <c r="Q824" s="18"/>
      <c r="R824" s="18">
        <v>1</v>
      </c>
      <c r="S824" s="10">
        <f>IF(N824&gt;0,TODAY()-N824,"")</f>
        <v>378</v>
      </c>
    </row>
    <row r="825" ht="17" customHeight="1" spans="1:19" x14ac:dyDescent="0.25">
      <c r="A825" s="3" t="s">
        <v>20</v>
      </c>
      <c r="B825" s="3" t="s">
        <v>1465</v>
      </c>
      <c r="C825" s="3" t="s">
        <v>1669</v>
      </c>
      <c r="D825" s="3" t="s">
        <v>1670</v>
      </c>
      <c r="E825" s="4">
        <v>5</v>
      </c>
      <c r="F825" s="5">
        <v>350</v>
      </c>
      <c r="G825" s="6">
        <v>45733</v>
      </c>
      <c r="H825" s="5">
        <v>350</v>
      </c>
      <c r="I825" s="7" t="s">
        <v>24</v>
      </c>
      <c r="J825" s="5"/>
      <c r="K825" s="8" t="str">
        <f>IF(AND(H825&gt;0,J825&gt;0),(J825-H825)/H825,"")</f>
        <v/>
      </c>
      <c r="L825" s="5"/>
      <c r="M825" s="8" t="str">
        <f>IF(AND(J825&gt;0,L825&gt;0),(L825-J825)/J825,IF(AND(H825&gt;0,L825&gt;0),(L825-H825)/H825,""))</f>
        <v/>
      </c>
      <c r="N825" s="6">
        <v>45733</v>
      </c>
      <c r="O825" s="5">
        <v>350</v>
      </c>
      <c r="P825" s="8" t="str">
        <f>IF(AND(L825&gt;0,O825&gt;0),(O825-L825)/L825,"")</f>
        <v/>
      </c>
      <c r="Q825" s="9"/>
      <c r="R825" s="9">
        <v>1</v>
      </c>
      <c r="S825" s="10">
        <f>IF(N825&gt;0,TODAY()-N825,"")</f>
        <v>378</v>
      </c>
    </row>
    <row r="826" ht="17" customHeight="1" spans="1:19" x14ac:dyDescent="0.25">
      <c r="A826" s="11" t="s">
        <v>20</v>
      </c>
      <c r="B826" s="11" t="s">
        <v>1465</v>
      </c>
      <c r="C826" s="11" t="s">
        <v>1671</v>
      </c>
      <c r="D826" s="11" t="s">
        <v>1672</v>
      </c>
      <c r="E826" s="12">
        <v>5</v>
      </c>
      <c r="F826" s="13">
        <v>350</v>
      </c>
      <c r="G826" s="14">
        <v>45733</v>
      </c>
      <c r="H826" s="13">
        <v>350</v>
      </c>
      <c r="I826" s="15" t="s">
        <v>24</v>
      </c>
      <c r="J826" s="13"/>
      <c r="K826" s="16" t="str">
        <f>IF(AND(H826&gt;0,J826&gt;0),(J826-H826)/H826,"")</f>
        <v/>
      </c>
      <c r="L826" s="13"/>
      <c r="M826" s="16" t="str">
        <f>IF(AND(J826&gt;0,L826&gt;0),(L826-J826)/J826,IF(AND(H826&gt;0,L826&gt;0),(L826-H826)/H826,""))</f>
        <v/>
      </c>
      <c r="N826" s="14">
        <v>45733</v>
      </c>
      <c r="O826" s="13">
        <v>350</v>
      </c>
      <c r="P826" s="16" t="str">
        <f>IF(AND(L826&gt;0,O826&gt;0),(O826-L826)/L826,"")</f>
        <v/>
      </c>
      <c r="Q826" s="18"/>
      <c r="R826" s="18">
        <v>1</v>
      </c>
      <c r="S826" s="10">
        <f>IF(N826&gt;0,TODAY()-N826,"")</f>
        <v>378</v>
      </c>
    </row>
    <row r="827" ht="17" customHeight="1" spans="1:19" x14ac:dyDescent="0.25">
      <c r="A827" s="3" t="s">
        <v>20</v>
      </c>
      <c r="B827" s="3" t="s">
        <v>1465</v>
      </c>
      <c r="C827" s="3" t="s">
        <v>1673</v>
      </c>
      <c r="D827" s="3" t="s">
        <v>1674</v>
      </c>
      <c r="E827" s="4">
        <v>10</v>
      </c>
      <c r="F827" s="5">
        <v>450</v>
      </c>
      <c r="G827" s="6">
        <v>45733</v>
      </c>
      <c r="H827" s="5">
        <v>450</v>
      </c>
      <c r="I827" s="7" t="s">
        <v>24</v>
      </c>
      <c r="J827" s="5"/>
      <c r="K827" s="8" t="str">
        <f>IF(AND(H827&gt;0,J827&gt;0),(J827-H827)/H827,"")</f>
        <v/>
      </c>
      <c r="L827" s="5"/>
      <c r="M827" s="8" t="str">
        <f>IF(AND(J827&gt;0,L827&gt;0),(L827-J827)/J827,IF(AND(H827&gt;0,L827&gt;0),(L827-H827)/H827,""))</f>
        <v/>
      </c>
      <c r="N827" s="6">
        <v>45733</v>
      </c>
      <c r="O827" s="5">
        <v>450</v>
      </c>
      <c r="P827" s="8" t="str">
        <f>IF(AND(L827&gt;0,O827&gt;0),(O827-L827)/L827,"")</f>
        <v/>
      </c>
      <c r="Q827" s="9"/>
      <c r="R827" s="9">
        <v>1</v>
      </c>
      <c r="S827" s="10">
        <f>IF(N827&gt;0,TODAY()-N827,"")</f>
        <v>378</v>
      </c>
    </row>
    <row r="828" ht="17" customHeight="1" spans="1:19" x14ac:dyDescent="0.25">
      <c r="A828" s="11" t="s">
        <v>20</v>
      </c>
      <c r="B828" s="11" t="s">
        <v>1465</v>
      </c>
      <c r="C828" s="11" t="s">
        <v>1675</v>
      </c>
      <c r="D828" s="11" t="s">
        <v>1676</v>
      </c>
      <c r="E828" s="12">
        <v>12</v>
      </c>
      <c r="F828" s="13">
        <v>1559.7516666666668</v>
      </c>
      <c r="G828" s="14">
        <v>45744</v>
      </c>
      <c r="H828" s="13">
        <v>1559.75</v>
      </c>
      <c r="I828" s="15" t="s">
        <v>24</v>
      </c>
      <c r="J828" s="13"/>
      <c r="K828" s="16" t="str">
        <f>IF(AND(H828&gt;0,J828&gt;0),(J828-H828)/H828,"")</f>
        <v/>
      </c>
      <c r="L828" s="13"/>
      <c r="M828" s="16" t="str">
        <f>IF(AND(J828&gt;0,L828&gt;0),(L828-J828)/J828,IF(AND(H828&gt;0,L828&gt;0),(L828-H828)/H828,""))</f>
        <v/>
      </c>
      <c r="N828" s="14">
        <v>45744</v>
      </c>
      <c r="O828" s="13">
        <v>1559.75</v>
      </c>
      <c r="P828" s="16" t="str">
        <f>IF(AND(L828&gt;0,O828&gt;0),(O828-L828)/L828,"")</f>
        <v/>
      </c>
      <c r="Q828" s="18"/>
      <c r="R828" s="18">
        <v>1</v>
      </c>
      <c r="S828" s="10">
        <f>IF(N828&gt;0,TODAY()-N828,"")</f>
        <v>367</v>
      </c>
    </row>
    <row r="829" ht="17" customHeight="1" spans="1:19" x14ac:dyDescent="0.25">
      <c r="A829" s="3" t="s">
        <v>20</v>
      </c>
      <c r="B829" s="3" t="s">
        <v>1465</v>
      </c>
      <c r="C829" s="3" t="s">
        <v>1677</v>
      </c>
      <c r="D829" s="3" t="s">
        <v>1678</v>
      </c>
      <c r="E829" s="4">
        <v>360</v>
      </c>
      <c r="F829" s="5">
        <v>179.62083333333334</v>
      </c>
      <c r="G829" s="6">
        <v>45692</v>
      </c>
      <c r="H829" s="5">
        <v>170</v>
      </c>
      <c r="I829" s="7" t="s">
        <v>57</v>
      </c>
      <c r="J829" s="5">
        <v>171</v>
      </c>
      <c r="K829" s="24">
        <f>IF(AND(H829&gt;0,J829&gt;0),(J829-H829)/H829,"")</f>
        <v>0.0058823529411764705</v>
      </c>
      <c r="L829" s="5">
        <v>175</v>
      </c>
      <c r="M829" s="24">
        <f>IF(AND(J829&gt;0,L829&gt;0),(L829-J829)/J829,IF(AND(H829&gt;0,L829&gt;0),(L829-H829)/H829,""))</f>
        <v>0.023391812865497075</v>
      </c>
      <c r="N829" s="6">
        <v>46094</v>
      </c>
      <c r="O829" s="5">
        <v>245</v>
      </c>
      <c r="P829" s="23">
        <f>IF(AND(L829&gt;0,O829&gt;0),(O829-L829)/L829,"")</f>
        <v>0.4</v>
      </c>
      <c r="Q829" s="9">
        <v>37</v>
      </c>
      <c r="R829" s="9">
        <v>12</v>
      </c>
      <c r="S829" s="9">
        <f>IF(N829&gt;0,TODAY()-N829,"")</f>
        <v>17</v>
      </c>
    </row>
    <row r="830" ht="17" customHeight="1" spans="1:19" x14ac:dyDescent="0.25">
      <c r="A830" s="11" t="s">
        <v>20</v>
      </c>
      <c r="B830" s="11" t="s">
        <v>1465</v>
      </c>
      <c r="C830" s="11" t="s">
        <v>1679</v>
      </c>
      <c r="D830" s="11" t="s">
        <v>1680</v>
      </c>
      <c r="E830" s="12">
        <v>1</v>
      </c>
      <c r="F830" s="13">
        <v>969</v>
      </c>
      <c r="G830" s="14">
        <v>46048</v>
      </c>
      <c r="H830" s="13">
        <v>969</v>
      </c>
      <c r="I830" s="15" t="s">
        <v>24</v>
      </c>
      <c r="J830" s="13"/>
      <c r="K830" s="16" t="str">
        <f>IF(AND(H830&gt;0,J830&gt;0),(J830-H830)/H830,"")</f>
        <v/>
      </c>
      <c r="L830" s="13">
        <v>969</v>
      </c>
      <c r="M830" s="17">
        <f>IF(AND(J830&gt;0,L830&gt;0),(L830-J830)/J830,IF(AND(H830&gt;0,L830&gt;0),(L830-H830)/H830,""))</f>
        <v>0</v>
      </c>
      <c r="N830" s="14">
        <v>46048</v>
      </c>
      <c r="O830" s="13">
        <v>969</v>
      </c>
      <c r="P830" s="16" t="str">
        <f>IF(AND(L830&gt;0,O830&gt;0),(O830-L830)/L830,"")</f>
        <v/>
      </c>
      <c r="Q830" s="18"/>
      <c r="R830" s="18">
        <v>1</v>
      </c>
      <c r="S830" s="19">
        <f>IF(N830&gt;0,TODAY()-N830,"")</f>
        <v>63</v>
      </c>
    </row>
    <row r="831" ht="17" customHeight="1" spans="1:19" x14ac:dyDescent="0.25">
      <c r="A831" s="3" t="s">
        <v>20</v>
      </c>
      <c r="B831" s="3" t="s">
        <v>1465</v>
      </c>
      <c r="C831" s="3" t="s">
        <v>1681</v>
      </c>
      <c r="D831" s="3" t="s">
        <v>1682</v>
      </c>
      <c r="E831" s="4">
        <v>255</v>
      </c>
      <c r="F831" s="5">
        <v>57.35294117647059</v>
      </c>
      <c r="G831" s="6">
        <v>45729</v>
      </c>
      <c r="H831" s="5">
        <v>50</v>
      </c>
      <c r="I831" s="7" t="s">
        <v>24</v>
      </c>
      <c r="J831" s="5"/>
      <c r="K831" s="8" t="str">
        <f>IF(AND(H831&gt;0,J831&gt;0),(J831-H831)/H831,"")</f>
        <v/>
      </c>
      <c r="L831" s="5">
        <v>68</v>
      </c>
      <c r="M831" s="23">
        <f>IF(AND(J831&gt;0,L831&gt;0),(L831-J831)/J831,IF(AND(H831&gt;0,L831&gt;0),(L831-H831)/H831,""))</f>
        <v>0.36</v>
      </c>
      <c r="N831" s="6">
        <v>46078</v>
      </c>
      <c r="O831" s="5">
        <v>72.6</v>
      </c>
      <c r="P831" s="24">
        <f>IF(AND(L831&gt;0,O831&gt;0),(O831-L831)/L831,"")</f>
        <v>0.06764705882352932</v>
      </c>
      <c r="Q831" s="9">
        <v>58</v>
      </c>
      <c r="R831" s="9">
        <v>7</v>
      </c>
      <c r="S831" s="9">
        <f>IF(N831&gt;0,TODAY()-N831,"")</f>
        <v>33</v>
      </c>
    </row>
    <row r="832" ht="17" customHeight="1" spans="1:19" x14ac:dyDescent="0.25">
      <c r="A832" s="11" t="s">
        <v>20</v>
      </c>
      <c r="B832" s="11" t="s">
        <v>1465</v>
      </c>
      <c r="C832" s="11" t="s">
        <v>1683</v>
      </c>
      <c r="D832" s="11" t="s">
        <v>1684</v>
      </c>
      <c r="E832" s="12">
        <v>10</v>
      </c>
      <c r="F832" s="13">
        <v>142</v>
      </c>
      <c r="G832" s="14">
        <v>45722</v>
      </c>
      <c r="H832" s="13">
        <v>142</v>
      </c>
      <c r="I832" s="15" t="s">
        <v>24</v>
      </c>
      <c r="J832" s="13"/>
      <c r="K832" s="16" t="str">
        <f>IF(AND(H832&gt;0,J832&gt;0),(J832-H832)/H832,"")</f>
        <v/>
      </c>
      <c r="L832" s="13"/>
      <c r="M832" s="16" t="str">
        <f>IF(AND(J832&gt;0,L832&gt;0),(L832-J832)/J832,IF(AND(H832&gt;0,L832&gt;0),(L832-H832)/H832,""))</f>
        <v/>
      </c>
      <c r="N832" s="14">
        <v>45722</v>
      </c>
      <c r="O832" s="13">
        <v>142</v>
      </c>
      <c r="P832" s="16" t="str">
        <f>IF(AND(L832&gt;0,O832&gt;0),(O832-L832)/L832,"")</f>
        <v/>
      </c>
      <c r="Q832" s="18"/>
      <c r="R832" s="18">
        <v>1</v>
      </c>
      <c r="S832" s="10">
        <f>IF(N832&gt;0,TODAY()-N832,"")</f>
        <v>389</v>
      </c>
    </row>
    <row r="833" ht="17" customHeight="1" spans="1:19" x14ac:dyDescent="0.25">
      <c r="A833" s="3" t="s">
        <v>20</v>
      </c>
      <c r="B833" s="3" t="s">
        <v>1465</v>
      </c>
      <c r="C833" s="3" t="s">
        <v>1685</v>
      </c>
      <c r="D833" s="3" t="s">
        <v>1686</v>
      </c>
      <c r="E833" s="4">
        <v>10</v>
      </c>
      <c r="F833" s="5">
        <v>76</v>
      </c>
      <c r="G833" s="6">
        <v>45722</v>
      </c>
      <c r="H833" s="5">
        <v>76</v>
      </c>
      <c r="I833" s="7" t="s">
        <v>24</v>
      </c>
      <c r="J833" s="5"/>
      <c r="K833" s="8" t="str">
        <f>IF(AND(H833&gt;0,J833&gt;0),(J833-H833)/H833,"")</f>
        <v/>
      </c>
      <c r="L833" s="5"/>
      <c r="M833" s="8" t="str">
        <f>IF(AND(J833&gt;0,L833&gt;0),(L833-J833)/J833,IF(AND(H833&gt;0,L833&gt;0),(L833-H833)/H833,""))</f>
        <v/>
      </c>
      <c r="N833" s="6">
        <v>45722</v>
      </c>
      <c r="O833" s="5">
        <v>76</v>
      </c>
      <c r="P833" s="8" t="str">
        <f>IF(AND(L833&gt;0,O833&gt;0),(O833-L833)/L833,"")</f>
        <v/>
      </c>
      <c r="Q833" s="9"/>
      <c r="R833" s="9">
        <v>1</v>
      </c>
      <c r="S833" s="10">
        <f>IF(N833&gt;0,TODAY()-N833,"")</f>
        <v>389</v>
      </c>
    </row>
    <row r="834" ht="17" customHeight="1" spans="1:19" x14ac:dyDescent="0.25">
      <c r="A834" s="11" t="s">
        <v>20</v>
      </c>
      <c r="B834" s="11" t="s">
        <v>1465</v>
      </c>
      <c r="C834" s="11" t="s">
        <v>1687</v>
      </c>
      <c r="D834" s="11" t="s">
        <v>1688</v>
      </c>
      <c r="E834" s="12">
        <v>370</v>
      </c>
      <c r="F834" s="13">
        <v>168.1081081081081</v>
      </c>
      <c r="G834" s="14">
        <v>45713</v>
      </c>
      <c r="H834" s="13">
        <v>165</v>
      </c>
      <c r="I834" s="15" t="s">
        <v>57</v>
      </c>
      <c r="J834" s="13">
        <v>165</v>
      </c>
      <c r="K834" s="17">
        <f>IF(AND(H834&gt;0,J834&gt;0),(J834-H834)/H834,"")</f>
        <v>0</v>
      </c>
      <c r="L834" s="13">
        <v>165</v>
      </c>
      <c r="M834" s="17">
        <f>IF(AND(J834&gt;0,L834&gt;0),(L834-J834)/J834,IF(AND(H834&gt;0,L834&gt;0),(L834-H834)/H834,""))</f>
        <v>0</v>
      </c>
      <c r="N834" s="14">
        <v>46090</v>
      </c>
      <c r="O834" s="13">
        <v>188</v>
      </c>
      <c r="P834" s="20">
        <f>IF(AND(L834&gt;0,O834&gt;0),(O834-L834)/L834,"")</f>
        <v>0.1393939393939394</v>
      </c>
      <c r="Q834" s="18">
        <v>38</v>
      </c>
      <c r="R834" s="18">
        <v>11</v>
      </c>
      <c r="S834" s="18">
        <f>IF(N834&gt;0,TODAY()-N834,"")</f>
        <v>21</v>
      </c>
    </row>
    <row r="835" ht="17" customHeight="1" spans="1:19" x14ac:dyDescent="0.25">
      <c r="A835" s="3" t="s">
        <v>20</v>
      </c>
      <c r="B835" s="3" t="s">
        <v>1465</v>
      </c>
      <c r="C835" s="3" t="s">
        <v>1689</v>
      </c>
      <c r="D835" s="3" t="s">
        <v>1690</v>
      </c>
      <c r="E835" s="4">
        <v>720</v>
      </c>
      <c r="F835" s="5">
        <v>59.044444444444444</v>
      </c>
      <c r="G835" s="6">
        <v>45692</v>
      </c>
      <c r="H835" s="5">
        <v>55</v>
      </c>
      <c r="I835" s="7" t="s">
        <v>60</v>
      </c>
      <c r="J835" s="5">
        <v>60</v>
      </c>
      <c r="K835" s="24">
        <f>IF(AND(H835&gt;0,J835&gt;0),(J835-H835)/H835,"")</f>
        <v>0.09090909090909091</v>
      </c>
      <c r="L835" s="5">
        <v>62</v>
      </c>
      <c r="M835" s="24">
        <f>IF(AND(J835&gt;0,L835&gt;0),(L835-J835)/J835,IF(AND(H835&gt;0,L835&gt;0),(L835-H835)/H835,""))</f>
        <v>0.03333333333333333</v>
      </c>
      <c r="N835" s="6">
        <v>46094</v>
      </c>
      <c r="O835" s="5">
        <v>74</v>
      </c>
      <c r="P835" s="22">
        <f>IF(AND(L835&gt;0,O835&gt;0),(O835-L835)/L835,"")</f>
        <v>0.1935483870967742</v>
      </c>
      <c r="Q835" s="9">
        <v>29</v>
      </c>
      <c r="R835" s="9">
        <v>15</v>
      </c>
      <c r="S835" s="9">
        <f>IF(N835&gt;0,TODAY()-N835,"")</f>
        <v>17</v>
      </c>
    </row>
    <row r="836" ht="17" customHeight="1" spans="1:19" x14ac:dyDescent="0.25">
      <c r="A836" s="11" t="s">
        <v>20</v>
      </c>
      <c r="B836" s="11" t="s">
        <v>1465</v>
      </c>
      <c r="C836" s="11" t="s">
        <v>1691</v>
      </c>
      <c r="D836" s="11" t="s">
        <v>1692</v>
      </c>
      <c r="E836" s="12">
        <v>585</v>
      </c>
      <c r="F836" s="13">
        <v>63.96239316239316</v>
      </c>
      <c r="G836" s="14">
        <v>45769</v>
      </c>
      <c r="H836" s="13">
        <v>61</v>
      </c>
      <c r="I836" s="15" t="s">
        <v>57</v>
      </c>
      <c r="J836" s="13">
        <v>61</v>
      </c>
      <c r="K836" s="17">
        <f>IF(AND(H836&gt;0,J836&gt;0),(J836-H836)/H836,"")</f>
        <v>0</v>
      </c>
      <c r="L836" s="13">
        <v>70</v>
      </c>
      <c r="M836" s="20">
        <f>IF(AND(J836&gt;0,L836&gt;0),(L836-J836)/J836,IF(AND(H836&gt;0,L836&gt;0),(L836-H836)/H836,""))</f>
        <v>0.14754098360655737</v>
      </c>
      <c r="N836" s="14">
        <v>46094</v>
      </c>
      <c r="O836" s="13">
        <v>72.6</v>
      </c>
      <c r="P836" s="17">
        <f>IF(AND(L836&gt;0,O836&gt;0),(O836-L836)/L836,"")</f>
        <v>0.03714285714285706</v>
      </c>
      <c r="Q836" s="18">
        <v>27</v>
      </c>
      <c r="R836" s="18">
        <v>13</v>
      </c>
      <c r="S836" s="18">
        <f>IF(N836&gt;0,TODAY()-N836,"")</f>
        <v>17</v>
      </c>
    </row>
    <row r="837" ht="17" customHeight="1" spans="1:19" x14ac:dyDescent="0.25">
      <c r="A837" s="3" t="s">
        <v>20</v>
      </c>
      <c r="B837" s="3" t="s">
        <v>1465</v>
      </c>
      <c r="C837" s="3" t="s">
        <v>1693</v>
      </c>
      <c r="D837" s="3" t="s">
        <v>1694</v>
      </c>
      <c r="E837" s="4">
        <v>1</v>
      </c>
      <c r="F837" s="5">
        <v>408</v>
      </c>
      <c r="G837" s="6">
        <v>46048</v>
      </c>
      <c r="H837" s="5">
        <v>408</v>
      </c>
      <c r="I837" s="7" t="s">
        <v>24</v>
      </c>
      <c r="J837" s="5"/>
      <c r="K837" s="8" t="str">
        <f>IF(AND(H837&gt;0,J837&gt;0),(J837-H837)/H837,"")</f>
        <v/>
      </c>
      <c r="L837" s="5">
        <v>408</v>
      </c>
      <c r="M837" s="24">
        <f>IF(AND(J837&gt;0,L837&gt;0),(L837-J837)/J837,IF(AND(H837&gt;0,L837&gt;0),(L837-H837)/H837,""))</f>
        <v>0</v>
      </c>
      <c r="N837" s="6">
        <v>46048</v>
      </c>
      <c r="O837" s="5">
        <v>408</v>
      </c>
      <c r="P837" s="8" t="str">
        <f>IF(AND(L837&gt;0,O837&gt;0),(O837-L837)/L837,"")</f>
        <v/>
      </c>
      <c r="Q837" s="9"/>
      <c r="R837" s="9">
        <v>1</v>
      </c>
      <c r="S837" s="19">
        <f>IF(N837&gt;0,TODAY()-N837,"")</f>
        <v>63</v>
      </c>
    </row>
    <row r="838" ht="17" customHeight="1" spans="1:19" x14ac:dyDescent="0.25">
      <c r="A838" s="11" t="s">
        <v>20</v>
      </c>
      <c r="B838" s="11" t="s">
        <v>1465</v>
      </c>
      <c r="C838" s="11" t="s">
        <v>1695</v>
      </c>
      <c r="D838" s="11" t="s">
        <v>1696</v>
      </c>
      <c r="E838" s="12">
        <v>1</v>
      </c>
      <c r="F838" s="13">
        <v>214</v>
      </c>
      <c r="G838" s="14">
        <v>46048</v>
      </c>
      <c r="H838" s="13">
        <v>214</v>
      </c>
      <c r="I838" s="15" t="s">
        <v>24</v>
      </c>
      <c r="J838" s="13"/>
      <c r="K838" s="16" t="str">
        <f>IF(AND(H838&gt;0,J838&gt;0),(J838-H838)/H838,"")</f>
        <v/>
      </c>
      <c r="L838" s="13">
        <v>214</v>
      </c>
      <c r="M838" s="17">
        <f>IF(AND(J838&gt;0,L838&gt;0),(L838-J838)/J838,IF(AND(H838&gt;0,L838&gt;0),(L838-H838)/H838,""))</f>
        <v>0</v>
      </c>
      <c r="N838" s="14">
        <v>46048</v>
      </c>
      <c r="O838" s="13">
        <v>214</v>
      </c>
      <c r="P838" s="16" t="str">
        <f>IF(AND(L838&gt;0,O838&gt;0),(O838-L838)/L838,"")</f>
        <v/>
      </c>
      <c r="Q838" s="18"/>
      <c r="R838" s="18">
        <v>1</v>
      </c>
      <c r="S838" s="19">
        <f>IF(N838&gt;0,TODAY()-N838,"")</f>
        <v>63</v>
      </c>
    </row>
    <row r="839" ht="17" customHeight="1" spans="1:19" x14ac:dyDescent="0.25">
      <c r="A839" s="3" t="s">
        <v>20</v>
      </c>
      <c r="B839" s="3" t="s">
        <v>1465</v>
      </c>
      <c r="C839" s="3" t="s">
        <v>1697</v>
      </c>
      <c r="D839" s="3" t="s">
        <v>1698</v>
      </c>
      <c r="E839" s="4">
        <v>1</v>
      </c>
      <c r="F839" s="5">
        <v>381</v>
      </c>
      <c r="G839" s="6">
        <v>46048</v>
      </c>
      <c r="H839" s="5">
        <v>381</v>
      </c>
      <c r="I839" s="7" t="s">
        <v>24</v>
      </c>
      <c r="J839" s="5"/>
      <c r="K839" s="8" t="str">
        <f>IF(AND(H839&gt;0,J839&gt;0),(J839-H839)/H839,"")</f>
        <v/>
      </c>
      <c r="L839" s="5">
        <v>381</v>
      </c>
      <c r="M839" s="24">
        <f>IF(AND(J839&gt;0,L839&gt;0),(L839-J839)/J839,IF(AND(H839&gt;0,L839&gt;0),(L839-H839)/H839,""))</f>
        <v>0</v>
      </c>
      <c r="N839" s="6">
        <v>46048</v>
      </c>
      <c r="O839" s="5">
        <v>381</v>
      </c>
      <c r="P839" s="8" t="str">
        <f>IF(AND(L839&gt;0,O839&gt;0),(O839-L839)/L839,"")</f>
        <v/>
      </c>
      <c r="Q839" s="9"/>
      <c r="R839" s="9">
        <v>1</v>
      </c>
      <c r="S839" s="19">
        <f>IF(N839&gt;0,TODAY()-N839,"")</f>
        <v>63</v>
      </c>
    </row>
    <row r="840" ht="17" customHeight="1" spans="1:19" x14ac:dyDescent="0.25">
      <c r="A840" s="11" t="s">
        <v>20</v>
      </c>
      <c r="B840" s="11" t="s">
        <v>1465</v>
      </c>
      <c r="C840" s="11" t="s">
        <v>1699</v>
      </c>
      <c r="D840" s="11" t="s">
        <v>1700</v>
      </c>
      <c r="E840" s="12">
        <v>5</v>
      </c>
      <c r="F840" s="13">
        <v>142</v>
      </c>
      <c r="G840" s="14">
        <v>45722</v>
      </c>
      <c r="H840" s="13">
        <v>142</v>
      </c>
      <c r="I840" s="15" t="s">
        <v>24</v>
      </c>
      <c r="J840" s="13"/>
      <c r="K840" s="16" t="str">
        <f>IF(AND(H840&gt;0,J840&gt;0),(J840-H840)/H840,"")</f>
        <v/>
      </c>
      <c r="L840" s="13"/>
      <c r="M840" s="16" t="str">
        <f>IF(AND(J840&gt;0,L840&gt;0),(L840-J840)/J840,IF(AND(H840&gt;0,L840&gt;0),(L840-H840)/H840,""))</f>
        <v/>
      </c>
      <c r="N840" s="14">
        <v>45722</v>
      </c>
      <c r="O840" s="13">
        <v>142</v>
      </c>
      <c r="P840" s="16" t="str">
        <f>IF(AND(L840&gt;0,O840&gt;0),(O840-L840)/L840,"")</f>
        <v/>
      </c>
      <c r="Q840" s="18"/>
      <c r="R840" s="18">
        <v>1</v>
      </c>
      <c r="S840" s="10">
        <f>IF(N840&gt;0,TODAY()-N840,"")</f>
        <v>389</v>
      </c>
    </row>
    <row r="841" ht="17" customHeight="1" spans="1:19" x14ac:dyDescent="0.25">
      <c r="A841" s="3" t="s">
        <v>20</v>
      </c>
      <c r="B841" s="3" t="s">
        <v>1465</v>
      </c>
      <c r="C841" s="3" t="s">
        <v>1701</v>
      </c>
      <c r="D841" s="3" t="s">
        <v>1702</v>
      </c>
      <c r="E841" s="4">
        <v>10</v>
      </c>
      <c r="F841" s="5">
        <v>41</v>
      </c>
      <c r="G841" s="6">
        <v>45722</v>
      </c>
      <c r="H841" s="5">
        <v>41</v>
      </c>
      <c r="I841" s="7" t="s">
        <v>24</v>
      </c>
      <c r="J841" s="5"/>
      <c r="K841" s="8" t="str">
        <f>IF(AND(H841&gt;0,J841&gt;0),(J841-H841)/H841,"")</f>
        <v/>
      </c>
      <c r="L841" s="5"/>
      <c r="M841" s="8" t="str">
        <f>IF(AND(J841&gt;0,L841&gt;0),(L841-J841)/J841,IF(AND(H841&gt;0,L841&gt;0),(L841-H841)/H841,""))</f>
        <v/>
      </c>
      <c r="N841" s="6">
        <v>45722</v>
      </c>
      <c r="O841" s="5">
        <v>41</v>
      </c>
      <c r="P841" s="8" t="str">
        <f>IF(AND(L841&gt;0,O841&gt;0),(O841-L841)/L841,"")</f>
        <v/>
      </c>
      <c r="Q841" s="9"/>
      <c r="R841" s="9">
        <v>1</v>
      </c>
      <c r="S841" s="10">
        <f>IF(N841&gt;0,TODAY()-N841,"")</f>
        <v>389</v>
      </c>
    </row>
    <row r="842" ht="17" customHeight="1" spans="1:19" x14ac:dyDescent="0.25">
      <c r="A842" s="11" t="s">
        <v>20</v>
      </c>
      <c r="B842" s="11" t="s">
        <v>1465</v>
      </c>
      <c r="C842" s="11" t="s">
        <v>1703</v>
      </c>
      <c r="D842" s="11" t="s">
        <v>1704</v>
      </c>
      <c r="E842" s="12">
        <v>10</v>
      </c>
      <c r="F842" s="13">
        <v>44</v>
      </c>
      <c r="G842" s="14">
        <v>45722</v>
      </c>
      <c r="H842" s="13">
        <v>44</v>
      </c>
      <c r="I842" s="15" t="s">
        <v>24</v>
      </c>
      <c r="J842" s="13"/>
      <c r="K842" s="16" t="str">
        <f>IF(AND(H842&gt;0,J842&gt;0),(J842-H842)/H842,"")</f>
        <v/>
      </c>
      <c r="L842" s="13"/>
      <c r="M842" s="16" t="str">
        <f>IF(AND(J842&gt;0,L842&gt;0),(L842-J842)/J842,IF(AND(H842&gt;0,L842&gt;0),(L842-H842)/H842,""))</f>
        <v/>
      </c>
      <c r="N842" s="14">
        <v>45722</v>
      </c>
      <c r="O842" s="13">
        <v>44</v>
      </c>
      <c r="P842" s="16" t="str">
        <f>IF(AND(L842&gt;0,O842&gt;0),(O842-L842)/L842,"")</f>
        <v/>
      </c>
      <c r="Q842" s="18"/>
      <c r="R842" s="18">
        <v>1</v>
      </c>
      <c r="S842" s="10">
        <f>IF(N842&gt;0,TODAY()-N842,"")</f>
        <v>389</v>
      </c>
    </row>
    <row r="843" ht="17" customHeight="1" spans="1:19" x14ac:dyDescent="0.25">
      <c r="A843" s="3" t="s">
        <v>20</v>
      </c>
      <c r="B843" s="3" t="s">
        <v>1465</v>
      </c>
      <c r="C843" s="3" t="s">
        <v>1705</v>
      </c>
      <c r="D843" s="3" t="s">
        <v>1706</v>
      </c>
      <c r="E843" s="4">
        <v>96</v>
      </c>
      <c r="F843" s="5">
        <v>170.41666666666666</v>
      </c>
      <c r="G843" s="6">
        <v>45842</v>
      </c>
      <c r="H843" s="5">
        <v>160</v>
      </c>
      <c r="I843" s="7" t="s">
        <v>24</v>
      </c>
      <c r="J843" s="5"/>
      <c r="K843" s="8" t="str">
        <f>IF(AND(H843&gt;0,J843&gt;0),(J843-H843)/H843,"")</f>
        <v/>
      </c>
      <c r="L843" s="5">
        <v>180</v>
      </c>
      <c r="M843" s="22">
        <f>IF(AND(J843&gt;0,L843&gt;0),(L843-J843)/J843,IF(AND(H843&gt;0,L843&gt;0),(L843-H843)/H843,""))</f>
        <v>0.125</v>
      </c>
      <c r="N843" s="6">
        <v>46027</v>
      </c>
      <c r="O843" s="5">
        <v>180</v>
      </c>
      <c r="P843" s="8" t="str">
        <f>IF(AND(L843&gt;0,O843&gt;0),(O843-L843)/L843,"")</f>
        <v/>
      </c>
      <c r="Q843" s="9">
        <v>185</v>
      </c>
      <c r="R843" s="9">
        <v>2</v>
      </c>
      <c r="S843" s="19">
        <f>IF(N843&gt;0,TODAY()-N843,"")</f>
        <v>84</v>
      </c>
    </row>
    <row r="844" ht="17" customHeight="1" spans="1:19" x14ac:dyDescent="0.25">
      <c r="A844" s="11" t="s">
        <v>20</v>
      </c>
      <c r="B844" s="11" t="s">
        <v>1465</v>
      </c>
      <c r="C844" s="11" t="s">
        <v>1707</v>
      </c>
      <c r="D844" s="11" t="s">
        <v>1708</v>
      </c>
      <c r="E844" s="12">
        <v>128</v>
      </c>
      <c r="F844" s="13">
        <v>1046.7695312343749</v>
      </c>
      <c r="G844" s="14">
        <v>45713</v>
      </c>
      <c r="H844" s="13">
        <v>870</v>
      </c>
      <c r="I844" s="15" t="s">
        <v>60</v>
      </c>
      <c r="J844" s="13">
        <v>1175</v>
      </c>
      <c r="K844" s="23">
        <f>IF(AND(H844&gt;0,J844&gt;0),(J844-H844)/H844,"")</f>
        <v>0.3505747126436782</v>
      </c>
      <c r="L844" s="13">
        <v>1200</v>
      </c>
      <c r="M844" s="17">
        <f>IF(AND(J844&gt;0,L844&gt;0),(L844-J844)/J844,IF(AND(H844&gt;0,L844&gt;0),(L844-H844)/H844,""))</f>
        <v>0.02127659574468085</v>
      </c>
      <c r="N844" s="14">
        <v>46104</v>
      </c>
      <c r="O844" s="13">
        <v>1200</v>
      </c>
      <c r="P844" s="17">
        <f>IF(AND(L844&gt;0,O844&gt;0),(O844-L844)/L844,"")</f>
        <v>0</v>
      </c>
      <c r="Q844" s="18">
        <v>28</v>
      </c>
      <c r="R844" s="18">
        <v>15</v>
      </c>
      <c r="S844" s="18">
        <f>IF(N844&gt;0,TODAY()-N844,"")</f>
        <v>7</v>
      </c>
    </row>
    <row r="845" ht="17" customHeight="1" spans="1:19" x14ac:dyDescent="0.25">
      <c r="A845" s="3" t="s">
        <v>20</v>
      </c>
      <c r="B845" s="3" t="s">
        <v>1465</v>
      </c>
      <c r="C845" s="3" t="s">
        <v>1709</v>
      </c>
      <c r="D845" s="3" t="s">
        <v>1710</v>
      </c>
      <c r="E845" s="4">
        <v>10</v>
      </c>
      <c r="F845" s="5">
        <v>63.6</v>
      </c>
      <c r="G845" s="6">
        <v>45918</v>
      </c>
      <c r="H845" s="5">
        <v>60</v>
      </c>
      <c r="I845" s="7" t="s">
        <v>57</v>
      </c>
      <c r="J845" s="5">
        <v>66</v>
      </c>
      <c r="K845" s="22">
        <f>IF(AND(H845&gt;0,J845&gt;0),(J845-H845)/H845,"")</f>
        <v>0.1</v>
      </c>
      <c r="L845" s="5"/>
      <c r="M845" s="8" t="str">
        <f>IF(AND(J845&gt;0,L845&gt;0),(L845-J845)/J845,IF(AND(H845&gt;0,L845&gt;0),(L845-H845)/H845,""))</f>
        <v/>
      </c>
      <c r="N845" s="6">
        <v>45951</v>
      </c>
      <c r="O845" s="5">
        <v>66</v>
      </c>
      <c r="P845" s="8" t="str">
        <f>IF(AND(L845&gt;0,O845&gt;0),(O845-L845)/L845,"")</f>
        <v/>
      </c>
      <c r="Q845" s="9">
        <v>33</v>
      </c>
      <c r="R845" s="9">
        <v>2</v>
      </c>
      <c r="S845" s="21">
        <f>IF(N845&gt;0,TODAY()-N845,"")</f>
        <v>160</v>
      </c>
    </row>
    <row r="846" ht="17" customHeight="1" spans="1:19" x14ac:dyDescent="0.25">
      <c r="A846" s="11" t="s">
        <v>20</v>
      </c>
      <c r="B846" s="11" t="s">
        <v>1465</v>
      </c>
      <c r="C846" s="11" t="s">
        <v>1711</v>
      </c>
      <c r="D846" s="11" t="s">
        <v>1712</v>
      </c>
      <c r="E846" s="12">
        <v>152</v>
      </c>
      <c r="F846" s="13">
        <v>1268.640355263158</v>
      </c>
      <c r="G846" s="14">
        <v>45684</v>
      </c>
      <c r="H846" s="13">
        <v>980</v>
      </c>
      <c r="I846" s="15" t="s">
        <v>57</v>
      </c>
      <c r="J846" s="13">
        <v>1450</v>
      </c>
      <c r="K846" s="23">
        <f>IF(AND(H846&gt;0,J846&gt;0),(J846-H846)/H846,"")</f>
        <v>0.47959183673469385</v>
      </c>
      <c r="L846" s="13">
        <v>1450</v>
      </c>
      <c r="M846" s="17">
        <f>IF(AND(J846&gt;0,L846&gt;0),(L846-J846)/J846,IF(AND(H846&gt;0,L846&gt;0),(L846-H846)/H846,""))</f>
        <v>0</v>
      </c>
      <c r="N846" s="14">
        <v>46094</v>
      </c>
      <c r="O846" s="13">
        <v>1600</v>
      </c>
      <c r="P846" s="20">
        <f>IF(AND(L846&gt;0,O846&gt;0),(O846-L846)/L846,"")</f>
        <v>0.10344827586206896</v>
      </c>
      <c r="Q846" s="18">
        <v>27</v>
      </c>
      <c r="R846" s="18">
        <v>16</v>
      </c>
      <c r="S846" s="18">
        <f>IF(N846&gt;0,TODAY()-N846,"")</f>
        <v>17</v>
      </c>
    </row>
    <row r="847" ht="17" customHeight="1" spans="1:19" x14ac:dyDescent="0.25">
      <c r="A847" s="3" t="s">
        <v>20</v>
      </c>
      <c r="B847" s="3" t="s">
        <v>1465</v>
      </c>
      <c r="C847" s="3" t="s">
        <v>1713</v>
      </c>
      <c r="D847" s="3" t="s">
        <v>1714</v>
      </c>
      <c r="E847" s="4">
        <v>10</v>
      </c>
      <c r="F847" s="5">
        <v>101.1</v>
      </c>
      <c r="G847" s="6">
        <v>45910</v>
      </c>
      <c r="H847" s="5">
        <v>101.1</v>
      </c>
      <c r="I847" s="7" t="s">
        <v>24</v>
      </c>
      <c r="J847" s="5"/>
      <c r="K847" s="8" t="str">
        <f>IF(AND(H847&gt;0,J847&gt;0),(J847-H847)/H847,"")</f>
        <v/>
      </c>
      <c r="L847" s="5"/>
      <c r="M847" s="8" t="str">
        <f>IF(AND(J847&gt;0,L847&gt;0),(L847-J847)/J847,IF(AND(H847&gt;0,L847&gt;0),(L847-H847)/H847,""))</f>
        <v/>
      </c>
      <c r="N847" s="6">
        <v>45910</v>
      </c>
      <c r="O847" s="5">
        <v>101.1</v>
      </c>
      <c r="P847" s="8" t="str">
        <f>IF(AND(L847&gt;0,O847&gt;0),(O847-L847)/L847,"")</f>
        <v/>
      </c>
      <c r="Q847" s="9"/>
      <c r="R847" s="9">
        <v>1</v>
      </c>
      <c r="S847" s="10">
        <f>IF(N847&gt;0,TODAY()-N847,"")</f>
        <v>201</v>
      </c>
    </row>
    <row r="848" ht="17" customHeight="1" spans="1:19" x14ac:dyDescent="0.25">
      <c r="A848" s="11" t="s">
        <v>20</v>
      </c>
      <c r="B848" s="11" t="s">
        <v>1465</v>
      </c>
      <c r="C848" s="11" t="s">
        <v>1715</v>
      </c>
      <c r="D848" s="11" t="s">
        <v>1716</v>
      </c>
      <c r="E848" s="12">
        <v>10</v>
      </c>
      <c r="F848" s="13">
        <v>105.22999999999999</v>
      </c>
      <c r="G848" s="14">
        <v>45910</v>
      </c>
      <c r="H848" s="13">
        <v>105.23</v>
      </c>
      <c r="I848" s="15" t="s">
        <v>24</v>
      </c>
      <c r="J848" s="13"/>
      <c r="K848" s="16" t="str">
        <f>IF(AND(H848&gt;0,J848&gt;0),(J848-H848)/H848,"")</f>
        <v/>
      </c>
      <c r="L848" s="13"/>
      <c r="M848" s="16" t="str">
        <f>IF(AND(J848&gt;0,L848&gt;0),(L848-J848)/J848,IF(AND(H848&gt;0,L848&gt;0),(L848-H848)/H848,""))</f>
        <v/>
      </c>
      <c r="N848" s="14">
        <v>45910</v>
      </c>
      <c r="O848" s="13">
        <v>105.23</v>
      </c>
      <c r="P848" s="16" t="str">
        <f>IF(AND(L848&gt;0,O848&gt;0),(O848-L848)/L848,"")</f>
        <v/>
      </c>
      <c r="Q848" s="18"/>
      <c r="R848" s="18">
        <v>1</v>
      </c>
      <c r="S848" s="10">
        <f>IF(N848&gt;0,TODAY()-N848,"")</f>
        <v>201</v>
      </c>
    </row>
    <row r="849" ht="17" customHeight="1" spans="1:19" x14ac:dyDescent="0.25">
      <c r="A849" s="3" t="s">
        <v>20</v>
      </c>
      <c r="B849" s="3" t="s">
        <v>1465</v>
      </c>
      <c r="C849" s="3" t="s">
        <v>1717</v>
      </c>
      <c r="D849" s="3" t="s">
        <v>1718</v>
      </c>
      <c r="E849" s="4">
        <v>1</v>
      </c>
      <c r="F849" s="5">
        <v>5210.612</v>
      </c>
      <c r="G849" s="6">
        <v>45862</v>
      </c>
      <c r="H849" s="5">
        <v>5210.61</v>
      </c>
      <c r="I849" s="7" t="s">
        <v>24</v>
      </c>
      <c r="J849" s="5"/>
      <c r="K849" s="8" t="str">
        <f>IF(AND(H849&gt;0,J849&gt;0),(J849-H849)/H849,"")</f>
        <v/>
      </c>
      <c r="L849" s="5"/>
      <c r="M849" s="8" t="str">
        <f>IF(AND(J849&gt;0,L849&gt;0),(L849-J849)/J849,IF(AND(H849&gt;0,L849&gt;0),(L849-H849)/H849,""))</f>
        <v/>
      </c>
      <c r="N849" s="6">
        <v>45862</v>
      </c>
      <c r="O849" s="5">
        <v>5210.61</v>
      </c>
      <c r="P849" s="8" t="str">
        <f>IF(AND(L849&gt;0,O849&gt;0),(O849-L849)/L849,"")</f>
        <v/>
      </c>
      <c r="Q849" s="9"/>
      <c r="R849" s="9">
        <v>1</v>
      </c>
      <c r="S849" s="10">
        <f>IF(N849&gt;0,TODAY()-N849,"")</f>
        <v>249</v>
      </c>
    </row>
    <row r="850" ht="17" customHeight="1" spans="1:19" x14ac:dyDescent="0.25">
      <c r="A850" s="11" t="s">
        <v>20</v>
      </c>
      <c r="B850" s="11" t="s">
        <v>1465</v>
      </c>
      <c r="C850" s="11" t="s">
        <v>1719</v>
      </c>
      <c r="D850" s="11" t="s">
        <v>1720</v>
      </c>
      <c r="E850" s="12">
        <v>4</v>
      </c>
      <c r="F850" s="13">
        <v>39.35</v>
      </c>
      <c r="G850" s="14">
        <v>46030</v>
      </c>
      <c r="H850" s="13">
        <v>39.35</v>
      </c>
      <c r="I850" s="15" t="s">
        <v>24</v>
      </c>
      <c r="J850" s="13"/>
      <c r="K850" s="16" t="str">
        <f>IF(AND(H850&gt;0,J850&gt;0),(J850-H850)/H850,"")</f>
        <v/>
      </c>
      <c r="L850" s="13">
        <v>39.35</v>
      </c>
      <c r="M850" s="17">
        <f>IF(AND(J850&gt;0,L850&gt;0),(L850-J850)/J850,IF(AND(H850&gt;0,L850&gt;0),(L850-H850)/H850,""))</f>
        <v>0</v>
      </c>
      <c r="N850" s="14">
        <v>46030</v>
      </c>
      <c r="O850" s="13">
        <v>39.35</v>
      </c>
      <c r="P850" s="16" t="str">
        <f>IF(AND(L850&gt;0,O850&gt;0),(O850-L850)/L850,"")</f>
        <v/>
      </c>
      <c r="Q850" s="18">
        <v>0</v>
      </c>
      <c r="R850" s="18">
        <v>2</v>
      </c>
      <c r="S850" s="19">
        <f>IF(N850&gt;0,TODAY()-N850,"")</f>
        <v>81</v>
      </c>
    </row>
    <row r="851" ht="17" customHeight="1" spans="1:19" x14ac:dyDescent="0.25">
      <c r="A851" s="3" t="s">
        <v>20</v>
      </c>
      <c r="B851" s="3" t="s">
        <v>1465</v>
      </c>
      <c r="C851" s="3" t="s">
        <v>1721</v>
      </c>
      <c r="D851" s="3" t="s">
        <v>1722</v>
      </c>
      <c r="E851" s="4">
        <v>8</v>
      </c>
      <c r="F851" s="5">
        <v>244.19</v>
      </c>
      <c r="G851" s="6">
        <v>46030</v>
      </c>
      <c r="H851" s="5">
        <v>244.19</v>
      </c>
      <c r="I851" s="7" t="s">
        <v>24</v>
      </c>
      <c r="J851" s="5"/>
      <c r="K851" s="8" t="str">
        <f>IF(AND(H851&gt;0,J851&gt;0),(J851-H851)/H851,"")</f>
        <v/>
      </c>
      <c r="L851" s="5">
        <v>244.19</v>
      </c>
      <c r="M851" s="24">
        <f>IF(AND(J851&gt;0,L851&gt;0),(L851-J851)/J851,IF(AND(H851&gt;0,L851&gt;0),(L851-H851)/H851,""))</f>
        <v>0</v>
      </c>
      <c r="N851" s="6">
        <v>46030</v>
      </c>
      <c r="O851" s="5">
        <v>244.19</v>
      </c>
      <c r="P851" s="8" t="str">
        <f>IF(AND(L851&gt;0,O851&gt;0),(O851-L851)/L851,"")</f>
        <v/>
      </c>
      <c r="Q851" s="9">
        <v>0</v>
      </c>
      <c r="R851" s="9">
        <v>2</v>
      </c>
      <c r="S851" s="19">
        <f>IF(N851&gt;0,TODAY()-N851,"")</f>
        <v>81</v>
      </c>
    </row>
    <row r="852" ht="17" customHeight="1" spans="1:19" x14ac:dyDescent="0.25">
      <c r="A852" s="11" t="s">
        <v>20</v>
      </c>
      <c r="B852" s="11" t="s">
        <v>1465</v>
      </c>
      <c r="C852" s="11" t="s">
        <v>1723</v>
      </c>
      <c r="D852" s="11" t="s">
        <v>1724</v>
      </c>
      <c r="E852" s="12">
        <v>2</v>
      </c>
      <c r="F852" s="13">
        <v>534.8</v>
      </c>
      <c r="G852" s="14">
        <v>46030</v>
      </c>
      <c r="H852" s="13">
        <v>534.8</v>
      </c>
      <c r="I852" s="15" t="s">
        <v>24</v>
      </c>
      <c r="J852" s="13"/>
      <c r="K852" s="16" t="str">
        <f>IF(AND(H852&gt;0,J852&gt;0),(J852-H852)/H852,"")</f>
        <v/>
      </c>
      <c r="L852" s="13">
        <v>534.8</v>
      </c>
      <c r="M852" s="17">
        <f>IF(AND(J852&gt;0,L852&gt;0),(L852-J852)/J852,IF(AND(H852&gt;0,L852&gt;0),(L852-H852)/H852,""))</f>
        <v>0</v>
      </c>
      <c r="N852" s="14">
        <v>46030</v>
      </c>
      <c r="O852" s="13">
        <v>534.8</v>
      </c>
      <c r="P852" s="16" t="str">
        <f>IF(AND(L852&gt;0,O852&gt;0),(O852-L852)/L852,"")</f>
        <v/>
      </c>
      <c r="Q852" s="18">
        <v>0</v>
      </c>
      <c r="R852" s="18">
        <v>2</v>
      </c>
      <c r="S852" s="19">
        <f>IF(N852&gt;0,TODAY()-N852,"")</f>
        <v>81</v>
      </c>
    </row>
    <row r="853" ht="17" customHeight="1" spans="1:19" x14ac:dyDescent="0.25">
      <c r="A853" s="3" t="s">
        <v>20</v>
      </c>
      <c r="B853" s="3" t="s">
        <v>1465</v>
      </c>
      <c r="C853" s="3" t="s">
        <v>1725</v>
      </c>
      <c r="D853" s="3" t="s">
        <v>1726</v>
      </c>
      <c r="E853" s="4">
        <v>2</v>
      </c>
      <c r="F853" s="5">
        <v>126.13</v>
      </c>
      <c r="G853" s="6">
        <v>46030</v>
      </c>
      <c r="H853" s="5">
        <v>126.13</v>
      </c>
      <c r="I853" s="7" t="s">
        <v>24</v>
      </c>
      <c r="J853" s="5"/>
      <c r="K853" s="8" t="str">
        <f>IF(AND(H853&gt;0,J853&gt;0),(J853-H853)/H853,"")</f>
        <v/>
      </c>
      <c r="L853" s="5">
        <v>126.13</v>
      </c>
      <c r="M853" s="24">
        <f>IF(AND(J853&gt;0,L853&gt;0),(L853-J853)/J853,IF(AND(H853&gt;0,L853&gt;0),(L853-H853)/H853,""))</f>
        <v>0</v>
      </c>
      <c r="N853" s="6">
        <v>46030</v>
      </c>
      <c r="O853" s="5">
        <v>126.13</v>
      </c>
      <c r="P853" s="8" t="str">
        <f>IF(AND(L853&gt;0,O853&gt;0),(O853-L853)/L853,"")</f>
        <v/>
      </c>
      <c r="Q853" s="9">
        <v>0</v>
      </c>
      <c r="R853" s="9">
        <v>2</v>
      </c>
      <c r="S853" s="19">
        <f>IF(N853&gt;0,TODAY()-N853,"")</f>
        <v>81</v>
      </c>
    </row>
    <row r="854" ht="17" customHeight="1" spans="1:19" x14ac:dyDescent="0.25">
      <c r="A854" s="11" t="s">
        <v>20</v>
      </c>
      <c r="B854" s="11" t="s">
        <v>1465</v>
      </c>
      <c r="C854" s="11" t="s">
        <v>1727</v>
      </c>
      <c r="D854" s="11" t="s">
        <v>1728</v>
      </c>
      <c r="E854" s="12">
        <v>2</v>
      </c>
      <c r="F854" s="13">
        <v>126.13</v>
      </c>
      <c r="G854" s="14">
        <v>46030</v>
      </c>
      <c r="H854" s="13">
        <v>126.13</v>
      </c>
      <c r="I854" s="15" t="s">
        <v>24</v>
      </c>
      <c r="J854" s="13"/>
      <c r="K854" s="16" t="str">
        <f>IF(AND(H854&gt;0,J854&gt;0),(J854-H854)/H854,"")</f>
        <v/>
      </c>
      <c r="L854" s="13">
        <v>126.13</v>
      </c>
      <c r="M854" s="17">
        <f>IF(AND(J854&gt;0,L854&gt;0),(L854-J854)/J854,IF(AND(H854&gt;0,L854&gt;0),(L854-H854)/H854,""))</f>
        <v>0</v>
      </c>
      <c r="N854" s="14">
        <v>46030</v>
      </c>
      <c r="O854" s="13">
        <v>126.13</v>
      </c>
      <c r="P854" s="16" t="str">
        <f>IF(AND(L854&gt;0,O854&gt;0),(O854-L854)/L854,"")</f>
        <v/>
      </c>
      <c r="Q854" s="18">
        <v>0</v>
      </c>
      <c r="R854" s="18">
        <v>2</v>
      </c>
      <c r="S854" s="19">
        <f>IF(N854&gt;0,TODAY()-N854,"")</f>
        <v>81</v>
      </c>
    </row>
    <row r="855" ht="17" customHeight="1" spans="1:19" x14ac:dyDescent="0.25">
      <c r="A855" s="3" t="s">
        <v>20</v>
      </c>
      <c r="B855" s="3" t="s">
        <v>1465</v>
      </c>
      <c r="C855" s="3" t="s">
        <v>1729</v>
      </c>
      <c r="D855" s="3" t="s">
        <v>1730</v>
      </c>
      <c r="E855" s="4">
        <v>2</v>
      </c>
      <c r="F855" s="5">
        <v>153.88</v>
      </c>
      <c r="G855" s="6">
        <v>46030</v>
      </c>
      <c r="H855" s="5">
        <v>153.88</v>
      </c>
      <c r="I855" s="7" t="s">
        <v>24</v>
      </c>
      <c r="J855" s="5"/>
      <c r="K855" s="8" t="str">
        <f>IF(AND(H855&gt;0,J855&gt;0),(J855-H855)/H855,"")</f>
        <v/>
      </c>
      <c r="L855" s="5">
        <v>153.88</v>
      </c>
      <c r="M855" s="24">
        <f>IF(AND(J855&gt;0,L855&gt;0),(L855-J855)/J855,IF(AND(H855&gt;0,L855&gt;0),(L855-H855)/H855,""))</f>
        <v>0</v>
      </c>
      <c r="N855" s="6">
        <v>46030</v>
      </c>
      <c r="O855" s="5">
        <v>153.88</v>
      </c>
      <c r="P855" s="8" t="str">
        <f>IF(AND(L855&gt;0,O855&gt;0),(O855-L855)/L855,"")</f>
        <v/>
      </c>
      <c r="Q855" s="9">
        <v>0</v>
      </c>
      <c r="R855" s="9">
        <v>2</v>
      </c>
      <c r="S855" s="19">
        <f>IF(N855&gt;0,TODAY()-N855,"")</f>
        <v>81</v>
      </c>
    </row>
    <row r="856" ht="17" customHeight="1" spans="1:19" x14ac:dyDescent="0.25">
      <c r="A856" s="11" t="s">
        <v>20</v>
      </c>
      <c r="B856" s="11" t="s">
        <v>1465</v>
      </c>
      <c r="C856" s="11" t="s">
        <v>1731</v>
      </c>
      <c r="D856" s="11" t="s">
        <v>1732</v>
      </c>
      <c r="E856" s="12">
        <v>2</v>
      </c>
      <c r="F856" s="13">
        <v>60.54</v>
      </c>
      <c r="G856" s="14">
        <v>46030</v>
      </c>
      <c r="H856" s="13">
        <v>60.54</v>
      </c>
      <c r="I856" s="15" t="s">
        <v>24</v>
      </c>
      <c r="J856" s="13"/>
      <c r="K856" s="16" t="str">
        <f>IF(AND(H856&gt;0,J856&gt;0),(J856-H856)/H856,"")</f>
        <v/>
      </c>
      <c r="L856" s="13">
        <v>60.54</v>
      </c>
      <c r="M856" s="17">
        <f>IF(AND(J856&gt;0,L856&gt;0),(L856-J856)/J856,IF(AND(H856&gt;0,L856&gt;0),(L856-H856)/H856,""))</f>
        <v>0</v>
      </c>
      <c r="N856" s="14">
        <v>46030</v>
      </c>
      <c r="O856" s="13">
        <v>60.54</v>
      </c>
      <c r="P856" s="16" t="str">
        <f>IF(AND(L856&gt;0,O856&gt;0),(O856-L856)/L856,"")</f>
        <v/>
      </c>
      <c r="Q856" s="18">
        <v>0</v>
      </c>
      <c r="R856" s="18">
        <v>2</v>
      </c>
      <c r="S856" s="19">
        <f>IF(N856&gt;0,TODAY()-N856,"")</f>
        <v>81</v>
      </c>
    </row>
    <row r="857" ht="17" customHeight="1" spans="1:19" x14ac:dyDescent="0.25">
      <c r="A857" s="3" t="s">
        <v>20</v>
      </c>
      <c r="B857" s="3" t="s">
        <v>1465</v>
      </c>
      <c r="C857" s="3" t="s">
        <v>1733</v>
      </c>
      <c r="D857" s="3" t="s">
        <v>1734</v>
      </c>
      <c r="E857" s="4">
        <v>2</v>
      </c>
      <c r="F857" s="5">
        <v>331.47</v>
      </c>
      <c r="G857" s="6">
        <v>46030</v>
      </c>
      <c r="H857" s="5">
        <v>331.47</v>
      </c>
      <c r="I857" s="7" t="s">
        <v>24</v>
      </c>
      <c r="J857" s="5"/>
      <c r="K857" s="8" t="str">
        <f>IF(AND(H857&gt;0,J857&gt;0),(J857-H857)/H857,"")</f>
        <v/>
      </c>
      <c r="L857" s="5">
        <v>331.47</v>
      </c>
      <c r="M857" s="24">
        <f>IF(AND(J857&gt;0,L857&gt;0),(L857-J857)/J857,IF(AND(H857&gt;0,L857&gt;0),(L857-H857)/H857,""))</f>
        <v>0</v>
      </c>
      <c r="N857" s="6">
        <v>46030</v>
      </c>
      <c r="O857" s="5">
        <v>331.47</v>
      </c>
      <c r="P857" s="8" t="str">
        <f>IF(AND(L857&gt;0,O857&gt;0),(O857-L857)/L857,"")</f>
        <v/>
      </c>
      <c r="Q857" s="9">
        <v>0</v>
      </c>
      <c r="R857" s="9">
        <v>2</v>
      </c>
      <c r="S857" s="19">
        <f>IF(N857&gt;0,TODAY()-N857,"")</f>
        <v>81</v>
      </c>
    </row>
    <row r="858" ht="17" customHeight="1" spans="1:19" x14ac:dyDescent="0.25">
      <c r="A858" s="11" t="s">
        <v>20</v>
      </c>
      <c r="B858" s="11" t="s">
        <v>1465</v>
      </c>
      <c r="C858" s="11" t="s">
        <v>1735</v>
      </c>
      <c r="D858" s="11" t="s">
        <v>1736</v>
      </c>
      <c r="E858" s="12">
        <v>2</v>
      </c>
      <c r="F858" s="13">
        <v>291.62</v>
      </c>
      <c r="G858" s="14">
        <v>46030</v>
      </c>
      <c r="H858" s="13">
        <v>291.62</v>
      </c>
      <c r="I858" s="15" t="s">
        <v>24</v>
      </c>
      <c r="J858" s="13"/>
      <c r="K858" s="16" t="str">
        <f>IF(AND(H858&gt;0,J858&gt;0),(J858-H858)/H858,"")</f>
        <v/>
      </c>
      <c r="L858" s="13">
        <v>291.62</v>
      </c>
      <c r="M858" s="17">
        <f>IF(AND(J858&gt;0,L858&gt;0),(L858-J858)/J858,IF(AND(H858&gt;0,L858&gt;0),(L858-H858)/H858,""))</f>
        <v>0</v>
      </c>
      <c r="N858" s="14">
        <v>46030</v>
      </c>
      <c r="O858" s="13">
        <v>291.62</v>
      </c>
      <c r="P858" s="16" t="str">
        <f>IF(AND(L858&gt;0,O858&gt;0),(O858-L858)/L858,"")</f>
        <v/>
      </c>
      <c r="Q858" s="18">
        <v>0</v>
      </c>
      <c r="R858" s="18">
        <v>2</v>
      </c>
      <c r="S858" s="19">
        <f>IF(N858&gt;0,TODAY()-N858,"")</f>
        <v>81</v>
      </c>
    </row>
    <row r="859" ht="17" customHeight="1" spans="1:19" x14ac:dyDescent="0.25">
      <c r="A859" s="3" t="s">
        <v>20</v>
      </c>
      <c r="B859" s="3" t="s">
        <v>1465</v>
      </c>
      <c r="C859" s="3" t="s">
        <v>1737</v>
      </c>
      <c r="D859" s="3" t="s">
        <v>1738</v>
      </c>
      <c r="E859" s="4">
        <v>2</v>
      </c>
      <c r="F859" s="5">
        <v>277.49</v>
      </c>
      <c r="G859" s="6">
        <v>46030</v>
      </c>
      <c r="H859" s="5">
        <v>277.49</v>
      </c>
      <c r="I859" s="7" t="s">
        <v>24</v>
      </c>
      <c r="J859" s="5"/>
      <c r="K859" s="8" t="str">
        <f>IF(AND(H859&gt;0,J859&gt;0),(J859-H859)/H859,"")</f>
        <v/>
      </c>
      <c r="L859" s="5">
        <v>277.49</v>
      </c>
      <c r="M859" s="24">
        <f>IF(AND(J859&gt;0,L859&gt;0),(L859-J859)/J859,IF(AND(H859&gt;0,L859&gt;0),(L859-H859)/H859,""))</f>
        <v>0</v>
      </c>
      <c r="N859" s="6">
        <v>46030</v>
      </c>
      <c r="O859" s="5">
        <v>277.49</v>
      </c>
      <c r="P859" s="8" t="str">
        <f>IF(AND(L859&gt;0,O859&gt;0),(O859-L859)/L859,"")</f>
        <v/>
      </c>
      <c r="Q859" s="9">
        <v>0</v>
      </c>
      <c r="R859" s="9">
        <v>2</v>
      </c>
      <c r="S859" s="19">
        <f>IF(N859&gt;0,TODAY()-N859,"")</f>
        <v>81</v>
      </c>
    </row>
    <row r="860" ht="17" customHeight="1" spans="1:19" x14ac:dyDescent="0.25">
      <c r="A860" s="11" t="s">
        <v>20</v>
      </c>
      <c r="B860" s="11" t="s">
        <v>1465</v>
      </c>
      <c r="C860" s="11" t="s">
        <v>1739</v>
      </c>
      <c r="D860" s="11" t="s">
        <v>1740</v>
      </c>
      <c r="E860" s="12">
        <v>70</v>
      </c>
      <c r="F860" s="13">
        <v>67.58</v>
      </c>
      <c r="G860" s="14">
        <v>46049</v>
      </c>
      <c r="H860" s="13">
        <v>67.58</v>
      </c>
      <c r="I860" s="15" t="s">
        <v>24</v>
      </c>
      <c r="J860" s="13"/>
      <c r="K860" s="16" t="str">
        <f>IF(AND(H860&gt;0,J860&gt;0),(J860-H860)/H860,"")</f>
        <v/>
      </c>
      <c r="L860" s="13">
        <v>67.58</v>
      </c>
      <c r="M860" s="17">
        <f>IF(AND(J860&gt;0,L860&gt;0),(L860-J860)/J860,IF(AND(H860&gt;0,L860&gt;0),(L860-H860)/H860,""))</f>
        <v>0</v>
      </c>
      <c r="N860" s="14">
        <v>46049</v>
      </c>
      <c r="O860" s="13">
        <v>67.58</v>
      </c>
      <c r="P860" s="16" t="str">
        <f>IF(AND(L860&gt;0,O860&gt;0),(O860-L860)/L860,"")</f>
        <v/>
      </c>
      <c r="Q860" s="18"/>
      <c r="R860" s="18">
        <v>1</v>
      </c>
      <c r="S860" s="19">
        <f>IF(N860&gt;0,TODAY()-N860,"")</f>
        <v>62</v>
      </c>
    </row>
    <row r="861" ht="17" customHeight="1" spans="1:19" x14ac:dyDescent="0.25">
      <c r="A861" s="3" t="s">
        <v>20</v>
      </c>
      <c r="B861" s="3" t="s">
        <v>1465</v>
      </c>
      <c r="C861" s="3" t="s">
        <v>1741</v>
      </c>
      <c r="D861" s="3" t="s">
        <v>1742</v>
      </c>
      <c r="E861" s="4">
        <v>2</v>
      </c>
      <c r="F861" s="5">
        <v>373.35</v>
      </c>
      <c r="G861" s="6">
        <v>46030</v>
      </c>
      <c r="H861" s="5">
        <v>373.35</v>
      </c>
      <c r="I861" s="7" t="s">
        <v>24</v>
      </c>
      <c r="J861" s="5"/>
      <c r="K861" s="8" t="str">
        <f>IF(AND(H861&gt;0,J861&gt;0),(J861-H861)/H861,"")</f>
        <v/>
      </c>
      <c r="L861" s="5">
        <v>373.35</v>
      </c>
      <c r="M861" s="24">
        <f>IF(AND(J861&gt;0,L861&gt;0),(L861-J861)/J861,IF(AND(H861&gt;0,L861&gt;0),(L861-H861)/H861,""))</f>
        <v>0</v>
      </c>
      <c r="N861" s="6">
        <v>46030</v>
      </c>
      <c r="O861" s="5">
        <v>373.35</v>
      </c>
      <c r="P861" s="8" t="str">
        <f>IF(AND(L861&gt;0,O861&gt;0),(O861-L861)/L861,"")</f>
        <v/>
      </c>
      <c r="Q861" s="9">
        <v>0</v>
      </c>
      <c r="R861" s="9">
        <v>2</v>
      </c>
      <c r="S861" s="19">
        <f>IF(N861&gt;0,TODAY()-N861,"")</f>
        <v>81</v>
      </c>
    </row>
    <row r="862" ht="17" customHeight="1" spans="1:19" x14ac:dyDescent="0.25">
      <c r="A862" s="11" t="s">
        <v>20</v>
      </c>
      <c r="B862" s="11" t="s">
        <v>1465</v>
      </c>
      <c r="C862" s="11" t="s">
        <v>1743</v>
      </c>
      <c r="D862" s="11" t="s">
        <v>1744</v>
      </c>
      <c r="E862" s="12">
        <v>6</v>
      </c>
      <c r="F862" s="13">
        <v>151.35999999999999</v>
      </c>
      <c r="G862" s="14">
        <v>46030</v>
      </c>
      <c r="H862" s="13">
        <v>151.36</v>
      </c>
      <c r="I862" s="15" t="s">
        <v>24</v>
      </c>
      <c r="J862" s="13"/>
      <c r="K862" s="16" t="str">
        <f>IF(AND(H862&gt;0,J862&gt;0),(J862-H862)/H862,"")</f>
        <v/>
      </c>
      <c r="L862" s="13">
        <v>151.36</v>
      </c>
      <c r="M862" s="17">
        <f>IF(AND(J862&gt;0,L862&gt;0),(L862-J862)/J862,IF(AND(H862&gt;0,L862&gt;0),(L862-H862)/H862,""))</f>
        <v>0</v>
      </c>
      <c r="N862" s="14">
        <v>46030</v>
      </c>
      <c r="O862" s="13">
        <v>151.36</v>
      </c>
      <c r="P862" s="16" t="str">
        <f>IF(AND(L862&gt;0,O862&gt;0),(O862-L862)/L862,"")</f>
        <v/>
      </c>
      <c r="Q862" s="18">
        <v>0</v>
      </c>
      <c r="R862" s="18">
        <v>2</v>
      </c>
      <c r="S862" s="19">
        <f>IF(N862&gt;0,TODAY()-N862,"")</f>
        <v>81</v>
      </c>
    </row>
    <row r="863" ht="17" customHeight="1" spans="1:19" x14ac:dyDescent="0.25">
      <c r="A863" s="3" t="s">
        <v>20</v>
      </c>
      <c r="B863" s="3" t="s">
        <v>1465</v>
      </c>
      <c r="C863" s="3" t="s">
        <v>1745</v>
      </c>
      <c r="D863" s="3" t="s">
        <v>1746</v>
      </c>
      <c r="E863" s="4">
        <v>2</v>
      </c>
      <c r="F863" s="5">
        <v>388.49</v>
      </c>
      <c r="G863" s="6">
        <v>46030</v>
      </c>
      <c r="H863" s="5">
        <v>388.49</v>
      </c>
      <c r="I863" s="7" t="s">
        <v>24</v>
      </c>
      <c r="J863" s="5"/>
      <c r="K863" s="8" t="str">
        <f>IF(AND(H863&gt;0,J863&gt;0),(J863-H863)/H863,"")</f>
        <v/>
      </c>
      <c r="L863" s="5">
        <v>388.49</v>
      </c>
      <c r="M863" s="24">
        <f>IF(AND(J863&gt;0,L863&gt;0),(L863-J863)/J863,IF(AND(H863&gt;0,L863&gt;0),(L863-H863)/H863,""))</f>
        <v>0</v>
      </c>
      <c r="N863" s="6">
        <v>46030</v>
      </c>
      <c r="O863" s="5">
        <v>388.49</v>
      </c>
      <c r="P863" s="8" t="str">
        <f>IF(AND(L863&gt;0,O863&gt;0),(O863-L863)/L863,"")</f>
        <v/>
      </c>
      <c r="Q863" s="9">
        <v>0</v>
      </c>
      <c r="R863" s="9">
        <v>2</v>
      </c>
      <c r="S863" s="19">
        <f>IF(N863&gt;0,TODAY()-N863,"")</f>
        <v>81</v>
      </c>
    </row>
    <row r="864" ht="17" customHeight="1" spans="1:19" x14ac:dyDescent="0.25">
      <c r="A864" s="11" t="s">
        <v>20</v>
      </c>
      <c r="B864" s="11" t="s">
        <v>1465</v>
      </c>
      <c r="C864" s="11" t="s">
        <v>1747</v>
      </c>
      <c r="D864" s="11" t="s">
        <v>1748</v>
      </c>
      <c r="E864" s="12">
        <v>2</v>
      </c>
      <c r="F864" s="13">
        <v>580.2</v>
      </c>
      <c r="G864" s="14">
        <v>46030</v>
      </c>
      <c r="H864" s="13">
        <v>580.2</v>
      </c>
      <c r="I864" s="15" t="s">
        <v>24</v>
      </c>
      <c r="J864" s="13"/>
      <c r="K864" s="16" t="str">
        <f>IF(AND(H864&gt;0,J864&gt;0),(J864-H864)/H864,"")</f>
        <v/>
      </c>
      <c r="L864" s="13">
        <v>580.2</v>
      </c>
      <c r="M864" s="17">
        <f>IF(AND(J864&gt;0,L864&gt;0),(L864-J864)/J864,IF(AND(H864&gt;0,L864&gt;0),(L864-H864)/H864,""))</f>
        <v>0</v>
      </c>
      <c r="N864" s="14">
        <v>46030</v>
      </c>
      <c r="O864" s="13">
        <v>580.2</v>
      </c>
      <c r="P864" s="16" t="str">
        <f>IF(AND(L864&gt;0,O864&gt;0),(O864-L864)/L864,"")</f>
        <v/>
      </c>
      <c r="Q864" s="18">
        <v>0</v>
      </c>
      <c r="R864" s="18">
        <v>2</v>
      </c>
      <c r="S864" s="19">
        <f>IF(N864&gt;0,TODAY()-N864,"")</f>
        <v>81</v>
      </c>
    </row>
    <row r="865" ht="17" customHeight="1" spans="1:19" x14ac:dyDescent="0.25">
      <c r="A865" s="3" t="s">
        <v>20</v>
      </c>
      <c r="B865" s="3" t="s">
        <v>1465</v>
      </c>
      <c r="C865" s="3" t="s">
        <v>1749</v>
      </c>
      <c r="D865" s="3" t="s">
        <v>1750</v>
      </c>
      <c r="E865" s="4">
        <v>1</v>
      </c>
      <c r="F865" s="5">
        <v>664.06</v>
      </c>
      <c r="G865" s="6">
        <v>46043</v>
      </c>
      <c r="H865" s="5">
        <v>664.06</v>
      </c>
      <c r="I865" s="7" t="s">
        <v>24</v>
      </c>
      <c r="J865" s="5"/>
      <c r="K865" s="8" t="str">
        <f>IF(AND(H865&gt;0,J865&gt;0),(J865-H865)/H865,"")</f>
        <v/>
      </c>
      <c r="L865" s="5">
        <v>664.06</v>
      </c>
      <c r="M865" s="24">
        <f>IF(AND(J865&gt;0,L865&gt;0),(L865-J865)/J865,IF(AND(H865&gt;0,L865&gt;0),(L865-H865)/H865,""))</f>
        <v>0</v>
      </c>
      <c r="N865" s="6">
        <v>46043</v>
      </c>
      <c r="O865" s="5">
        <v>664.06</v>
      </c>
      <c r="P865" s="8" t="str">
        <f>IF(AND(L865&gt;0,O865&gt;0),(O865-L865)/L865,"")</f>
        <v/>
      </c>
      <c r="Q865" s="9"/>
      <c r="R865" s="9">
        <v>1</v>
      </c>
      <c r="S865" s="19">
        <f>IF(N865&gt;0,TODAY()-N865,"")</f>
        <v>68</v>
      </c>
    </row>
    <row r="866" ht="17" customHeight="1" spans="1:19" x14ac:dyDescent="0.25">
      <c r="A866" s="11" t="s">
        <v>20</v>
      </c>
      <c r="B866" s="11" t="s">
        <v>1465</v>
      </c>
      <c r="C866" s="11" t="s">
        <v>1751</v>
      </c>
      <c r="D866" s="11" t="s">
        <v>1752</v>
      </c>
      <c r="E866" s="12">
        <v>2</v>
      </c>
      <c r="F866" s="13">
        <v>580.2</v>
      </c>
      <c r="G866" s="14">
        <v>46030</v>
      </c>
      <c r="H866" s="13">
        <v>580.2</v>
      </c>
      <c r="I866" s="15" t="s">
        <v>24</v>
      </c>
      <c r="J866" s="13"/>
      <c r="K866" s="16" t="str">
        <f>IF(AND(H866&gt;0,J866&gt;0),(J866-H866)/H866,"")</f>
        <v/>
      </c>
      <c r="L866" s="13">
        <v>580.2</v>
      </c>
      <c r="M866" s="17">
        <f>IF(AND(J866&gt;0,L866&gt;0),(L866-J866)/J866,IF(AND(H866&gt;0,L866&gt;0),(L866-H866)/H866,""))</f>
        <v>0</v>
      </c>
      <c r="N866" s="14">
        <v>46030</v>
      </c>
      <c r="O866" s="13">
        <v>580.2</v>
      </c>
      <c r="P866" s="16" t="str">
        <f>IF(AND(L866&gt;0,O866&gt;0),(O866-L866)/L866,"")</f>
        <v/>
      </c>
      <c r="Q866" s="18">
        <v>0</v>
      </c>
      <c r="R866" s="18">
        <v>2</v>
      </c>
      <c r="S866" s="19">
        <f>IF(N866&gt;0,TODAY()-N866,"")</f>
        <v>81</v>
      </c>
    </row>
    <row r="867" ht="17" customHeight="1" spans="1:19" x14ac:dyDescent="0.25">
      <c r="A867" s="3" t="s">
        <v>20</v>
      </c>
      <c r="B867" s="3" t="s">
        <v>1465</v>
      </c>
      <c r="C867" s="3" t="s">
        <v>1753</v>
      </c>
      <c r="D867" s="3" t="s">
        <v>1754</v>
      </c>
      <c r="E867" s="4">
        <v>1</v>
      </c>
      <c r="F867" s="5">
        <v>664.06</v>
      </c>
      <c r="G867" s="6">
        <v>46043</v>
      </c>
      <c r="H867" s="5">
        <v>664.06</v>
      </c>
      <c r="I867" s="7" t="s">
        <v>24</v>
      </c>
      <c r="J867" s="5"/>
      <c r="K867" s="8" t="str">
        <f>IF(AND(H867&gt;0,J867&gt;0),(J867-H867)/H867,"")</f>
        <v/>
      </c>
      <c r="L867" s="5">
        <v>664.06</v>
      </c>
      <c r="M867" s="24">
        <f>IF(AND(J867&gt;0,L867&gt;0),(L867-J867)/J867,IF(AND(H867&gt;0,L867&gt;0),(L867-H867)/H867,""))</f>
        <v>0</v>
      </c>
      <c r="N867" s="6">
        <v>46043</v>
      </c>
      <c r="O867" s="5">
        <v>664.06</v>
      </c>
      <c r="P867" s="8" t="str">
        <f>IF(AND(L867&gt;0,O867&gt;0),(O867-L867)/L867,"")</f>
        <v/>
      </c>
      <c r="Q867" s="9"/>
      <c r="R867" s="9">
        <v>1</v>
      </c>
      <c r="S867" s="19">
        <f>IF(N867&gt;0,TODAY()-N867,"")</f>
        <v>68</v>
      </c>
    </row>
    <row r="868" ht="17" customHeight="1" spans="1:19" x14ac:dyDescent="0.25">
      <c r="A868" s="11" t="s">
        <v>20</v>
      </c>
      <c r="B868" s="11" t="s">
        <v>1465</v>
      </c>
      <c r="C868" s="11" t="s">
        <v>1755</v>
      </c>
      <c r="D868" s="11" t="s">
        <v>1756</v>
      </c>
      <c r="E868" s="12">
        <v>2</v>
      </c>
      <c r="F868" s="13">
        <v>401.1</v>
      </c>
      <c r="G868" s="14">
        <v>46030</v>
      </c>
      <c r="H868" s="13">
        <v>401.1</v>
      </c>
      <c r="I868" s="15" t="s">
        <v>24</v>
      </c>
      <c r="J868" s="13"/>
      <c r="K868" s="16" t="str">
        <f>IF(AND(H868&gt;0,J868&gt;0),(J868-H868)/H868,"")</f>
        <v/>
      </c>
      <c r="L868" s="13">
        <v>401.1</v>
      </c>
      <c r="M868" s="17">
        <f>IF(AND(J868&gt;0,L868&gt;0),(L868-J868)/J868,IF(AND(H868&gt;0,L868&gt;0),(L868-H868)/H868,""))</f>
        <v>0</v>
      </c>
      <c r="N868" s="14">
        <v>46030</v>
      </c>
      <c r="O868" s="13">
        <v>401.1</v>
      </c>
      <c r="P868" s="16" t="str">
        <f>IF(AND(L868&gt;0,O868&gt;0),(O868-L868)/L868,"")</f>
        <v/>
      </c>
      <c r="Q868" s="18">
        <v>0</v>
      </c>
      <c r="R868" s="18">
        <v>2</v>
      </c>
      <c r="S868" s="19">
        <f>IF(N868&gt;0,TODAY()-N868,"")</f>
        <v>81</v>
      </c>
    </row>
    <row r="869" ht="17" customHeight="1" spans="1:19" x14ac:dyDescent="0.25">
      <c r="A869" s="3" t="s">
        <v>20</v>
      </c>
      <c r="B869" s="3" t="s">
        <v>1465</v>
      </c>
      <c r="C869" s="3" t="s">
        <v>1757</v>
      </c>
      <c r="D869" s="3" t="s">
        <v>1758</v>
      </c>
      <c r="E869" s="4">
        <v>3</v>
      </c>
      <c r="F869" s="5">
        <v>532.27</v>
      </c>
      <c r="G869" s="6">
        <v>46030</v>
      </c>
      <c r="H869" s="5">
        <v>532.27</v>
      </c>
      <c r="I869" s="7" t="s">
        <v>24</v>
      </c>
      <c r="J869" s="5"/>
      <c r="K869" s="8" t="str">
        <f>IF(AND(H869&gt;0,J869&gt;0),(J869-H869)/H869,"")</f>
        <v/>
      </c>
      <c r="L869" s="5">
        <v>532.27</v>
      </c>
      <c r="M869" s="24">
        <f>IF(AND(J869&gt;0,L869&gt;0),(L869-J869)/J869,IF(AND(H869&gt;0,L869&gt;0),(L869-H869)/H869,""))</f>
        <v>0</v>
      </c>
      <c r="N869" s="6">
        <v>46030</v>
      </c>
      <c r="O869" s="5">
        <v>532.27</v>
      </c>
      <c r="P869" s="8" t="str">
        <f>IF(AND(L869&gt;0,O869&gt;0),(O869-L869)/L869,"")</f>
        <v/>
      </c>
      <c r="Q869" s="9">
        <v>0</v>
      </c>
      <c r="R869" s="9">
        <v>2</v>
      </c>
      <c r="S869" s="19">
        <f>IF(N869&gt;0,TODAY()-N869,"")</f>
        <v>81</v>
      </c>
    </row>
    <row r="870" ht="17" customHeight="1" spans="1:19" x14ac:dyDescent="0.25">
      <c r="A870" s="11" t="s">
        <v>20</v>
      </c>
      <c r="B870" s="11" t="s">
        <v>1465</v>
      </c>
      <c r="C870" s="11" t="s">
        <v>1759</v>
      </c>
      <c r="D870" s="11" t="s">
        <v>1760</v>
      </c>
      <c r="E870" s="12">
        <v>2</v>
      </c>
      <c r="F870" s="13">
        <v>688.68</v>
      </c>
      <c r="G870" s="14">
        <v>46030</v>
      </c>
      <c r="H870" s="13">
        <v>688.68</v>
      </c>
      <c r="I870" s="15" t="s">
        <v>24</v>
      </c>
      <c r="J870" s="13"/>
      <c r="K870" s="16" t="str">
        <f>IF(AND(H870&gt;0,J870&gt;0),(J870-H870)/H870,"")</f>
        <v/>
      </c>
      <c r="L870" s="13">
        <v>688.68</v>
      </c>
      <c r="M870" s="17">
        <f>IF(AND(J870&gt;0,L870&gt;0),(L870-J870)/J870,IF(AND(H870&gt;0,L870&gt;0),(L870-H870)/H870,""))</f>
        <v>0</v>
      </c>
      <c r="N870" s="14">
        <v>46030</v>
      </c>
      <c r="O870" s="13">
        <v>688.68</v>
      </c>
      <c r="P870" s="16" t="str">
        <f>IF(AND(L870&gt;0,O870&gt;0),(O870-L870)/L870,"")</f>
        <v/>
      </c>
      <c r="Q870" s="18">
        <v>0</v>
      </c>
      <c r="R870" s="18">
        <v>2</v>
      </c>
      <c r="S870" s="19">
        <f>IF(N870&gt;0,TODAY()-N870,"")</f>
        <v>81</v>
      </c>
    </row>
    <row r="871" ht="17" customHeight="1" spans="1:19" x14ac:dyDescent="0.25">
      <c r="A871" s="3" t="s">
        <v>20</v>
      </c>
      <c r="B871" s="3" t="s">
        <v>1465</v>
      </c>
      <c r="C871" s="3" t="s">
        <v>1761</v>
      </c>
      <c r="D871" s="3" t="s">
        <v>1762</v>
      </c>
      <c r="E871" s="4">
        <v>6</v>
      </c>
      <c r="F871" s="5">
        <v>75.67999999999999</v>
      </c>
      <c r="G871" s="6">
        <v>46030</v>
      </c>
      <c r="H871" s="5">
        <v>75.68</v>
      </c>
      <c r="I871" s="7" t="s">
        <v>24</v>
      </c>
      <c r="J871" s="5"/>
      <c r="K871" s="8" t="str">
        <f>IF(AND(H871&gt;0,J871&gt;0),(J871-H871)/H871,"")</f>
        <v/>
      </c>
      <c r="L871" s="5">
        <v>75.68</v>
      </c>
      <c r="M871" s="24">
        <f>IF(AND(J871&gt;0,L871&gt;0),(L871-J871)/J871,IF(AND(H871&gt;0,L871&gt;0),(L871-H871)/H871,""))</f>
        <v>0</v>
      </c>
      <c r="N871" s="6">
        <v>46030</v>
      </c>
      <c r="O871" s="5">
        <v>75.68</v>
      </c>
      <c r="P871" s="8" t="str">
        <f>IF(AND(L871&gt;0,O871&gt;0),(O871-L871)/L871,"")</f>
        <v/>
      </c>
      <c r="Q871" s="9">
        <v>0</v>
      </c>
      <c r="R871" s="9">
        <v>2</v>
      </c>
      <c r="S871" s="19">
        <f>IF(N871&gt;0,TODAY()-N871,"")</f>
        <v>81</v>
      </c>
    </row>
    <row r="872" ht="17" customHeight="1" spans="1:19" x14ac:dyDescent="0.25">
      <c r="A872" s="11" t="s">
        <v>20</v>
      </c>
      <c r="B872" s="11" t="s">
        <v>1465</v>
      </c>
      <c r="C872" s="11" t="s">
        <v>1763</v>
      </c>
      <c r="D872" s="11" t="s">
        <v>1764</v>
      </c>
      <c r="E872" s="12">
        <v>4</v>
      </c>
      <c r="F872" s="13">
        <v>305.24</v>
      </c>
      <c r="G872" s="14">
        <v>46030</v>
      </c>
      <c r="H872" s="13">
        <v>305.24</v>
      </c>
      <c r="I872" s="15" t="s">
        <v>24</v>
      </c>
      <c r="J872" s="13"/>
      <c r="K872" s="16" t="str">
        <f>IF(AND(H872&gt;0,J872&gt;0),(J872-H872)/H872,"")</f>
        <v/>
      </c>
      <c r="L872" s="13">
        <v>305.24</v>
      </c>
      <c r="M872" s="17">
        <f>IF(AND(J872&gt;0,L872&gt;0),(L872-J872)/J872,IF(AND(H872&gt;0,L872&gt;0),(L872-H872)/H872,""))</f>
        <v>0</v>
      </c>
      <c r="N872" s="14">
        <v>46030</v>
      </c>
      <c r="O872" s="13">
        <v>305.24</v>
      </c>
      <c r="P872" s="16" t="str">
        <f>IF(AND(L872&gt;0,O872&gt;0),(O872-L872)/L872,"")</f>
        <v/>
      </c>
      <c r="Q872" s="18">
        <v>0</v>
      </c>
      <c r="R872" s="18">
        <v>2</v>
      </c>
      <c r="S872" s="19">
        <f>IF(N872&gt;0,TODAY()-N872,"")</f>
        <v>81</v>
      </c>
    </row>
    <row r="873" ht="17" customHeight="1" spans="1:19" x14ac:dyDescent="0.25">
      <c r="A873" s="3" t="s">
        <v>20</v>
      </c>
      <c r="B873" s="3" t="s">
        <v>1465</v>
      </c>
      <c r="C873" s="3" t="s">
        <v>1765</v>
      </c>
      <c r="D873" s="3" t="s">
        <v>1766</v>
      </c>
      <c r="E873" s="4">
        <v>25</v>
      </c>
      <c r="F873" s="5">
        <v>72.96</v>
      </c>
      <c r="G873" s="6">
        <v>46030</v>
      </c>
      <c r="H873" s="5">
        <v>72.96</v>
      </c>
      <c r="I873" s="7" t="s">
        <v>24</v>
      </c>
      <c r="J873" s="5"/>
      <c r="K873" s="8" t="str">
        <f>IF(AND(H873&gt;0,J873&gt;0),(J873-H873)/H873,"")</f>
        <v/>
      </c>
      <c r="L873" s="5">
        <v>72.96</v>
      </c>
      <c r="M873" s="24">
        <f>IF(AND(J873&gt;0,L873&gt;0),(L873-J873)/J873,IF(AND(H873&gt;0,L873&gt;0),(L873-H873)/H873,""))</f>
        <v>0</v>
      </c>
      <c r="N873" s="6">
        <v>46030</v>
      </c>
      <c r="O873" s="5">
        <v>72.96</v>
      </c>
      <c r="P873" s="8" t="str">
        <f>IF(AND(L873&gt;0,O873&gt;0),(O873-L873)/L873,"")</f>
        <v/>
      </c>
      <c r="Q873" s="9"/>
      <c r="R873" s="9">
        <v>1</v>
      </c>
      <c r="S873" s="19">
        <f>IF(N873&gt;0,TODAY()-N873,"")</f>
        <v>81</v>
      </c>
    </row>
    <row r="874" ht="17" customHeight="1" spans="1:19" x14ac:dyDescent="0.25">
      <c r="A874" s="11" t="s">
        <v>20</v>
      </c>
      <c r="B874" s="11" t="s">
        <v>1465</v>
      </c>
      <c r="C874" s="11" t="s">
        <v>1767</v>
      </c>
      <c r="D874" s="11" t="s">
        <v>1768</v>
      </c>
      <c r="E874" s="12">
        <v>2</v>
      </c>
      <c r="F874" s="13">
        <v>85.77</v>
      </c>
      <c r="G874" s="14">
        <v>46030</v>
      </c>
      <c r="H874" s="13">
        <v>85.77</v>
      </c>
      <c r="I874" s="15" t="s">
        <v>24</v>
      </c>
      <c r="J874" s="13"/>
      <c r="K874" s="16" t="str">
        <f>IF(AND(H874&gt;0,J874&gt;0),(J874-H874)/H874,"")</f>
        <v/>
      </c>
      <c r="L874" s="13">
        <v>85.77</v>
      </c>
      <c r="M874" s="17">
        <f>IF(AND(J874&gt;0,L874&gt;0),(L874-J874)/J874,IF(AND(H874&gt;0,L874&gt;0),(L874-H874)/H874,""))</f>
        <v>0</v>
      </c>
      <c r="N874" s="14">
        <v>46030</v>
      </c>
      <c r="O874" s="13">
        <v>85.77</v>
      </c>
      <c r="P874" s="16" t="str">
        <f>IF(AND(L874&gt;0,O874&gt;0),(O874-L874)/L874,"")</f>
        <v/>
      </c>
      <c r="Q874" s="18">
        <v>0</v>
      </c>
      <c r="R874" s="18">
        <v>2</v>
      </c>
      <c r="S874" s="19">
        <f>IF(N874&gt;0,TODAY()-N874,"")</f>
        <v>81</v>
      </c>
    </row>
    <row r="875" ht="17" customHeight="1" spans="1:19" x14ac:dyDescent="0.25">
      <c r="A875" s="3" t="s">
        <v>20</v>
      </c>
      <c r="B875" s="3" t="s">
        <v>1465</v>
      </c>
      <c r="C875" s="3" t="s">
        <v>1769</v>
      </c>
      <c r="D875" s="3" t="s">
        <v>1770</v>
      </c>
      <c r="E875" s="4">
        <v>2</v>
      </c>
      <c r="F875" s="5">
        <v>996.94</v>
      </c>
      <c r="G875" s="6">
        <v>46030</v>
      </c>
      <c r="H875" s="5">
        <v>996.94</v>
      </c>
      <c r="I875" s="7" t="s">
        <v>24</v>
      </c>
      <c r="J875" s="5"/>
      <c r="K875" s="8" t="str">
        <f>IF(AND(H875&gt;0,J875&gt;0),(J875-H875)/H875,"")</f>
        <v/>
      </c>
      <c r="L875" s="5">
        <v>996.94</v>
      </c>
      <c r="M875" s="24">
        <f>IF(AND(J875&gt;0,L875&gt;0),(L875-J875)/J875,IF(AND(H875&gt;0,L875&gt;0),(L875-H875)/H875,""))</f>
        <v>0</v>
      </c>
      <c r="N875" s="6">
        <v>46030</v>
      </c>
      <c r="O875" s="5">
        <v>996.94</v>
      </c>
      <c r="P875" s="8" t="str">
        <f>IF(AND(L875&gt;0,O875&gt;0),(O875-L875)/L875,"")</f>
        <v/>
      </c>
      <c r="Q875" s="9">
        <v>0</v>
      </c>
      <c r="R875" s="9">
        <v>2</v>
      </c>
      <c r="S875" s="19">
        <f>IF(N875&gt;0,TODAY()-N875,"")</f>
        <v>81</v>
      </c>
    </row>
    <row r="876" ht="17" customHeight="1" spans="1:19" x14ac:dyDescent="0.25">
      <c r="A876" s="11" t="s">
        <v>20</v>
      </c>
      <c r="B876" s="11" t="s">
        <v>1465</v>
      </c>
      <c r="C876" s="11" t="s">
        <v>1771</v>
      </c>
      <c r="D876" s="11" t="s">
        <v>1772</v>
      </c>
      <c r="E876" s="12">
        <v>2</v>
      </c>
      <c r="F876" s="13">
        <v>996.94</v>
      </c>
      <c r="G876" s="14">
        <v>46030</v>
      </c>
      <c r="H876" s="13">
        <v>996.94</v>
      </c>
      <c r="I876" s="15" t="s">
        <v>24</v>
      </c>
      <c r="J876" s="13"/>
      <c r="K876" s="16" t="str">
        <f>IF(AND(H876&gt;0,J876&gt;0),(J876-H876)/H876,"")</f>
        <v/>
      </c>
      <c r="L876" s="13">
        <v>996.94</v>
      </c>
      <c r="M876" s="17">
        <f>IF(AND(J876&gt;0,L876&gt;0),(L876-J876)/J876,IF(AND(H876&gt;0,L876&gt;0),(L876-H876)/H876,""))</f>
        <v>0</v>
      </c>
      <c r="N876" s="14">
        <v>46030</v>
      </c>
      <c r="O876" s="13">
        <v>996.94</v>
      </c>
      <c r="P876" s="16" t="str">
        <f>IF(AND(L876&gt;0,O876&gt;0),(O876-L876)/L876,"")</f>
        <v/>
      </c>
      <c r="Q876" s="18">
        <v>0</v>
      </c>
      <c r="R876" s="18">
        <v>2</v>
      </c>
      <c r="S876" s="19">
        <f>IF(N876&gt;0,TODAY()-N876,"")</f>
        <v>81</v>
      </c>
    </row>
    <row r="877" ht="17" customHeight="1" spans="1:19" x14ac:dyDescent="0.25">
      <c r="A877" s="3" t="s">
        <v>20</v>
      </c>
      <c r="B877" s="3" t="s">
        <v>1465</v>
      </c>
      <c r="C877" s="3" t="s">
        <v>1773</v>
      </c>
      <c r="D877" s="3" t="s">
        <v>1774</v>
      </c>
      <c r="E877" s="4">
        <v>5</v>
      </c>
      <c r="F877" s="5">
        <v>196.76999999999998</v>
      </c>
      <c r="G877" s="6">
        <v>46030</v>
      </c>
      <c r="H877" s="5">
        <v>196.77</v>
      </c>
      <c r="I877" s="7" t="s">
        <v>24</v>
      </c>
      <c r="J877" s="5"/>
      <c r="K877" s="8" t="str">
        <f>IF(AND(H877&gt;0,J877&gt;0),(J877-H877)/H877,"")</f>
        <v/>
      </c>
      <c r="L877" s="5">
        <v>196.77</v>
      </c>
      <c r="M877" s="24">
        <f>IF(AND(J877&gt;0,L877&gt;0),(L877-J877)/J877,IF(AND(H877&gt;0,L877&gt;0),(L877-H877)/H877,""))</f>
        <v>0</v>
      </c>
      <c r="N877" s="6">
        <v>46030</v>
      </c>
      <c r="O877" s="5">
        <v>196.77</v>
      </c>
      <c r="P877" s="8" t="str">
        <f>IF(AND(L877&gt;0,O877&gt;0),(O877-L877)/L877,"")</f>
        <v/>
      </c>
      <c r="Q877" s="9">
        <v>0</v>
      </c>
      <c r="R877" s="9">
        <v>2</v>
      </c>
      <c r="S877" s="19">
        <f>IF(N877&gt;0,TODAY()-N877,"")</f>
        <v>81</v>
      </c>
    </row>
    <row r="878" ht="17" customHeight="1" spans="1:19" x14ac:dyDescent="0.25">
      <c r="A878" s="11" t="s">
        <v>20</v>
      </c>
      <c r="B878" s="11" t="s">
        <v>1465</v>
      </c>
      <c r="C878" s="11" t="s">
        <v>1775</v>
      </c>
      <c r="D878" s="11" t="s">
        <v>1776</v>
      </c>
      <c r="E878" s="12">
        <v>5</v>
      </c>
      <c r="F878" s="13">
        <v>701.29</v>
      </c>
      <c r="G878" s="14">
        <v>46030</v>
      </c>
      <c r="H878" s="13">
        <v>701.29</v>
      </c>
      <c r="I878" s="15" t="s">
        <v>24</v>
      </c>
      <c r="J878" s="13"/>
      <c r="K878" s="16" t="str">
        <f>IF(AND(H878&gt;0,J878&gt;0),(J878-H878)/H878,"")</f>
        <v/>
      </c>
      <c r="L878" s="13">
        <v>701.29</v>
      </c>
      <c r="M878" s="17">
        <f>IF(AND(J878&gt;0,L878&gt;0),(L878-J878)/J878,IF(AND(H878&gt;0,L878&gt;0),(L878-H878)/H878,""))</f>
        <v>0</v>
      </c>
      <c r="N878" s="14">
        <v>46030</v>
      </c>
      <c r="O878" s="13">
        <v>701.29</v>
      </c>
      <c r="P878" s="16" t="str">
        <f>IF(AND(L878&gt;0,O878&gt;0),(O878-L878)/L878,"")</f>
        <v/>
      </c>
      <c r="Q878" s="18">
        <v>0</v>
      </c>
      <c r="R878" s="18">
        <v>2</v>
      </c>
      <c r="S878" s="19">
        <f>IF(N878&gt;0,TODAY()-N878,"")</f>
        <v>81</v>
      </c>
    </row>
    <row r="879" ht="17" customHeight="1" spans="1:19" x14ac:dyDescent="0.25">
      <c r="A879" s="3" t="s">
        <v>20</v>
      </c>
      <c r="B879" s="3" t="s">
        <v>1465</v>
      </c>
      <c r="C879" s="3" t="s">
        <v>1777</v>
      </c>
      <c r="D879" s="3" t="s">
        <v>1778</v>
      </c>
      <c r="E879" s="4">
        <v>2</v>
      </c>
      <c r="F879" s="5">
        <v>504.53</v>
      </c>
      <c r="G879" s="6">
        <v>46030</v>
      </c>
      <c r="H879" s="5">
        <v>504.53</v>
      </c>
      <c r="I879" s="7" t="s">
        <v>24</v>
      </c>
      <c r="J879" s="5"/>
      <c r="K879" s="8" t="str">
        <f>IF(AND(H879&gt;0,J879&gt;0),(J879-H879)/H879,"")</f>
        <v/>
      </c>
      <c r="L879" s="5">
        <v>504.53</v>
      </c>
      <c r="M879" s="24">
        <f>IF(AND(J879&gt;0,L879&gt;0),(L879-J879)/J879,IF(AND(H879&gt;0,L879&gt;0),(L879-H879)/H879,""))</f>
        <v>0</v>
      </c>
      <c r="N879" s="6">
        <v>46030</v>
      </c>
      <c r="O879" s="5">
        <v>504.53</v>
      </c>
      <c r="P879" s="8" t="str">
        <f>IF(AND(L879&gt;0,O879&gt;0),(O879-L879)/L879,"")</f>
        <v/>
      </c>
      <c r="Q879" s="9">
        <v>0</v>
      </c>
      <c r="R879" s="9">
        <v>2</v>
      </c>
      <c r="S879" s="19">
        <f>IF(N879&gt;0,TODAY()-N879,"")</f>
        <v>81</v>
      </c>
    </row>
    <row r="880" ht="17" customHeight="1" spans="1:19" x14ac:dyDescent="0.25">
      <c r="A880" s="11" t="s">
        <v>20</v>
      </c>
      <c r="B880" s="11" t="s">
        <v>1465</v>
      </c>
      <c r="C880" s="11" t="s">
        <v>1779</v>
      </c>
      <c r="D880" s="11" t="s">
        <v>1780</v>
      </c>
      <c r="E880" s="12">
        <v>4</v>
      </c>
      <c r="F880" s="13">
        <v>98.38</v>
      </c>
      <c r="G880" s="14">
        <v>46030</v>
      </c>
      <c r="H880" s="13">
        <v>98.38</v>
      </c>
      <c r="I880" s="15" t="s">
        <v>24</v>
      </c>
      <c r="J880" s="13"/>
      <c r="K880" s="16" t="str">
        <f>IF(AND(H880&gt;0,J880&gt;0),(J880-H880)/H880,"")</f>
        <v/>
      </c>
      <c r="L880" s="13">
        <v>98.38</v>
      </c>
      <c r="M880" s="17">
        <f>IF(AND(J880&gt;0,L880&gt;0),(L880-J880)/J880,IF(AND(H880&gt;0,L880&gt;0),(L880-H880)/H880,""))</f>
        <v>0</v>
      </c>
      <c r="N880" s="14">
        <v>46030</v>
      </c>
      <c r="O880" s="13">
        <v>98.38</v>
      </c>
      <c r="P880" s="16" t="str">
        <f>IF(AND(L880&gt;0,O880&gt;0),(O880-L880)/L880,"")</f>
        <v/>
      </c>
      <c r="Q880" s="18">
        <v>0</v>
      </c>
      <c r="R880" s="18">
        <v>2</v>
      </c>
      <c r="S880" s="19">
        <f>IF(N880&gt;0,TODAY()-N880,"")</f>
        <v>81</v>
      </c>
    </row>
    <row r="881" ht="17" customHeight="1" spans="1:19" x14ac:dyDescent="0.25">
      <c r="A881" s="3" t="s">
        <v>20</v>
      </c>
      <c r="B881" s="3" t="s">
        <v>1465</v>
      </c>
      <c r="C881" s="3" t="s">
        <v>1781</v>
      </c>
      <c r="D881" s="3" t="s">
        <v>1782</v>
      </c>
      <c r="E881" s="4">
        <v>98</v>
      </c>
      <c r="F881" s="5">
        <v>7703.971734693878</v>
      </c>
      <c r="G881" s="6">
        <v>45708</v>
      </c>
      <c r="H881" s="5">
        <v>6477.03</v>
      </c>
      <c r="I881" s="7" t="s">
        <v>54</v>
      </c>
      <c r="J881" s="5">
        <v>8644.93</v>
      </c>
      <c r="K881" s="23">
        <f>IF(AND(H881&gt;0,J881&gt;0),(J881-H881)/H881,"")</f>
        <v>0.3347058759956339</v>
      </c>
      <c r="L881" s="5"/>
      <c r="M881" s="8" t="str">
        <f>IF(AND(J881&gt;0,L881&gt;0),(L881-J881)/J881,IF(AND(H881&gt;0,L881&gt;0),(L881-H881)/H881,""))</f>
        <v/>
      </c>
      <c r="N881" s="6">
        <v>46106</v>
      </c>
      <c r="O881" s="5">
        <v>8793.87</v>
      </c>
      <c r="P881" s="24">
        <f>IF(AND(L881&gt;0,O881&gt;0),(O881-L881)/L881,"")</f>
        <v>0.01722859525756721</v>
      </c>
      <c r="Q881" s="9">
        <v>50</v>
      </c>
      <c r="R881" s="9">
        <v>9</v>
      </c>
      <c r="S881" s="9">
        <f>IF(N881&gt;0,TODAY()-N881,"")</f>
        <v>5</v>
      </c>
    </row>
    <row r="882" ht="17" customHeight="1" spans="1:19" x14ac:dyDescent="0.25">
      <c r="A882" s="11" t="s">
        <v>20</v>
      </c>
      <c r="B882" s="11" t="s">
        <v>1465</v>
      </c>
      <c r="C882" s="11" t="s">
        <v>1783</v>
      </c>
      <c r="D882" s="11" t="s">
        <v>1784</v>
      </c>
      <c r="E882" s="12">
        <v>7</v>
      </c>
      <c r="F882" s="13">
        <v>56.93571428571429</v>
      </c>
      <c r="G882" s="14">
        <v>45692</v>
      </c>
      <c r="H882" s="13">
        <v>99.28</v>
      </c>
      <c r="I882" s="15" t="s">
        <v>24</v>
      </c>
      <c r="J882" s="13"/>
      <c r="K882" s="16" t="str">
        <f>IF(AND(H882&gt;0,J882&gt;0),(J882-H882)/H882,"")</f>
        <v/>
      </c>
      <c r="L882" s="13">
        <v>40</v>
      </c>
      <c r="M882" s="25">
        <f>IF(AND(J882&gt;0,L882&gt;0),(L882-J882)/J882,IF(AND(H882&gt;0,L882&gt;0),(L882-H882)/H882,""))</f>
        <v>-0.59709911361805</v>
      </c>
      <c r="N882" s="14">
        <v>46038</v>
      </c>
      <c r="O882" s="13">
        <v>40</v>
      </c>
      <c r="P882" s="16" t="str">
        <f>IF(AND(L882&gt;0,O882&gt;0),(O882-L882)/L882,"")</f>
        <v/>
      </c>
      <c r="Q882" s="18">
        <v>346</v>
      </c>
      <c r="R882" s="18">
        <v>2</v>
      </c>
      <c r="S882" s="19">
        <f>IF(N882&gt;0,TODAY()-N882,"")</f>
        <v>73</v>
      </c>
    </row>
    <row r="883" ht="17" customHeight="1" spans="1:19" x14ac:dyDescent="0.25">
      <c r="A883" s="3" t="s">
        <v>20</v>
      </c>
      <c r="B883" s="3" t="s">
        <v>1465</v>
      </c>
      <c r="C883" s="3" t="s">
        <v>1785</v>
      </c>
      <c r="D883" s="3" t="s">
        <v>1786</v>
      </c>
      <c r="E883" s="4">
        <v>3</v>
      </c>
      <c r="F883" s="5">
        <v>82.94333333333334</v>
      </c>
      <c r="G883" s="6">
        <v>45825</v>
      </c>
      <c r="H883" s="5">
        <v>82.94</v>
      </c>
      <c r="I883" s="7" t="s">
        <v>24</v>
      </c>
      <c r="J883" s="5"/>
      <c r="K883" s="8" t="str">
        <f>IF(AND(H883&gt;0,J883&gt;0),(J883-H883)/H883,"")</f>
        <v/>
      </c>
      <c r="L883" s="5"/>
      <c r="M883" s="8" t="str">
        <f>IF(AND(J883&gt;0,L883&gt;0),(L883-J883)/J883,IF(AND(H883&gt;0,L883&gt;0),(L883-H883)/H883,""))</f>
        <v/>
      </c>
      <c r="N883" s="6">
        <v>45825</v>
      </c>
      <c r="O883" s="5">
        <v>82.94</v>
      </c>
      <c r="P883" s="8" t="str">
        <f>IF(AND(L883&gt;0,O883&gt;0),(O883-L883)/L883,"")</f>
        <v/>
      </c>
      <c r="Q883" s="9"/>
      <c r="R883" s="9">
        <v>1</v>
      </c>
      <c r="S883" s="10">
        <f>IF(N883&gt;0,TODAY()-N883,"")</f>
        <v>286</v>
      </c>
    </row>
    <row r="884" ht="17" customHeight="1" spans="1:19" x14ac:dyDescent="0.25">
      <c r="A884" s="11" t="s">
        <v>20</v>
      </c>
      <c r="B884" s="11" t="s">
        <v>1465</v>
      </c>
      <c r="C884" s="11" t="s">
        <v>1787</v>
      </c>
      <c r="D884" s="11" t="s">
        <v>1788</v>
      </c>
      <c r="E884" s="12">
        <v>4</v>
      </c>
      <c r="F884" s="13">
        <v>250</v>
      </c>
      <c r="G884" s="14">
        <v>45866</v>
      </c>
      <c r="H884" s="13">
        <v>250</v>
      </c>
      <c r="I884" s="15" t="s">
        <v>24</v>
      </c>
      <c r="J884" s="13"/>
      <c r="K884" s="16" t="str">
        <f>IF(AND(H884&gt;0,J884&gt;0),(J884-H884)/H884,"")</f>
        <v/>
      </c>
      <c r="L884" s="13"/>
      <c r="M884" s="16" t="str">
        <f>IF(AND(J884&gt;0,L884&gt;0),(L884-J884)/J884,IF(AND(H884&gt;0,L884&gt;0),(L884-H884)/H884,""))</f>
        <v/>
      </c>
      <c r="N884" s="14">
        <v>45866</v>
      </c>
      <c r="O884" s="13">
        <v>250</v>
      </c>
      <c r="P884" s="16" t="str">
        <f>IF(AND(L884&gt;0,O884&gt;0),(O884-L884)/L884,"")</f>
        <v/>
      </c>
      <c r="Q884" s="18"/>
      <c r="R884" s="18">
        <v>1</v>
      </c>
      <c r="S884" s="10">
        <f>IF(N884&gt;0,TODAY()-N884,"")</f>
        <v>245</v>
      </c>
    </row>
    <row r="885" ht="17" customHeight="1" spans="1:19" x14ac:dyDescent="0.25">
      <c r="A885" s="3" t="s">
        <v>20</v>
      </c>
      <c r="B885" s="3" t="s">
        <v>1465</v>
      </c>
      <c r="C885" s="3" t="s">
        <v>1789</v>
      </c>
      <c r="D885" s="3" t="s">
        <v>1790</v>
      </c>
      <c r="E885" s="4">
        <v>4</v>
      </c>
      <c r="F885" s="5">
        <v>18575</v>
      </c>
      <c r="G885" s="6">
        <v>45866</v>
      </c>
      <c r="H885" s="5">
        <v>20000</v>
      </c>
      <c r="I885" s="7" t="s">
        <v>54</v>
      </c>
      <c r="J885" s="5">
        <v>17000</v>
      </c>
      <c r="K885" s="26">
        <f>IF(AND(H885&gt;0,J885&gt;0),(J885-H885)/H885,"")</f>
        <v>-0.15</v>
      </c>
      <c r="L885" s="5">
        <v>20300</v>
      </c>
      <c r="M885" s="22">
        <f>IF(AND(J885&gt;0,L885&gt;0),(L885-J885)/J885,IF(AND(H885&gt;0,L885&gt;0),(L885-H885)/H885,""))</f>
        <v>0.19411764705882356</v>
      </c>
      <c r="N885" s="6">
        <v>46050</v>
      </c>
      <c r="O885" s="5">
        <v>20300</v>
      </c>
      <c r="P885" s="8" t="str">
        <f>IF(AND(L885&gt;0,O885&gt;0),(O885-L885)/L885,"")</f>
        <v/>
      </c>
      <c r="Q885" s="9">
        <v>92</v>
      </c>
      <c r="R885" s="9">
        <v>3</v>
      </c>
      <c r="S885" s="19">
        <f>IF(N885&gt;0,TODAY()-N885,"")</f>
        <v>61</v>
      </c>
    </row>
    <row r="886" ht="17" customHeight="1" spans="1:19" x14ac:dyDescent="0.25">
      <c r="A886" s="11" t="s">
        <v>20</v>
      </c>
      <c r="B886" s="11" t="s">
        <v>1791</v>
      </c>
      <c r="C886" s="11" t="s">
        <v>1792</v>
      </c>
      <c r="D886" s="11" t="s">
        <v>1793</v>
      </c>
      <c r="E886" s="12">
        <v>159.69</v>
      </c>
      <c r="F886" s="13">
        <v>275.75753021479113</v>
      </c>
      <c r="G886" s="14">
        <v>45701</v>
      </c>
      <c r="H886" s="13">
        <v>242.79</v>
      </c>
      <c r="I886" s="15" t="s">
        <v>57</v>
      </c>
      <c r="J886" s="13">
        <v>301.05</v>
      </c>
      <c r="K886" s="20">
        <f>IF(AND(H886&gt;0,J886&gt;0),(J886-H886)/H886,"")</f>
        <v>0.23996045965649335</v>
      </c>
      <c r="L886" s="13">
        <v>292.19</v>
      </c>
      <c r="M886" s="25">
        <f>IF(AND(J886&gt;0,L886&gt;0),(L886-J886)/J886,IF(AND(H886&gt;0,L886&gt;0),(L886-H886)/H886,""))</f>
        <v>-0.029430327188174767</v>
      </c>
      <c r="N886" s="14">
        <v>46083</v>
      </c>
      <c r="O886" s="13">
        <v>300.68</v>
      </c>
      <c r="P886" s="17">
        <f>IF(AND(L886&gt;0,O886&gt;0),(O886-L886)/L886,"")</f>
        <v>0.029056435880762548</v>
      </c>
      <c r="Q886" s="18">
        <v>38</v>
      </c>
      <c r="R886" s="18">
        <v>11</v>
      </c>
      <c r="S886" s="18">
        <f>IF(N886&gt;0,TODAY()-N886,"")</f>
        <v>28</v>
      </c>
    </row>
    <row r="887" ht="17" customHeight="1" spans="1:19" x14ac:dyDescent="0.25">
      <c r="A887" s="3" t="s">
        <v>20</v>
      </c>
      <c r="B887" s="3" t="s">
        <v>1791</v>
      </c>
      <c r="C887" s="3" t="s">
        <v>1794</v>
      </c>
      <c r="D887" s="3" t="s">
        <v>1795</v>
      </c>
      <c r="E887" s="4">
        <v>523.25</v>
      </c>
      <c r="F887" s="5">
        <v>170.35858576206402</v>
      </c>
      <c r="G887" s="6">
        <v>45681</v>
      </c>
      <c r="H887" s="5">
        <v>139.63</v>
      </c>
      <c r="I887" s="7" t="s">
        <v>60</v>
      </c>
      <c r="J887" s="5">
        <v>186.75</v>
      </c>
      <c r="K887" s="23">
        <f>IF(AND(H887&gt;0,J887&gt;0),(J887-H887)/H887,"")</f>
        <v>0.3374632958533267</v>
      </c>
      <c r="L887" s="5">
        <v>194.54</v>
      </c>
      <c r="M887" s="24">
        <f>IF(AND(J887&gt;0,L887&gt;0),(L887-J887)/J887,IF(AND(H887&gt;0,L887&gt;0),(L887-H887)/H887,""))</f>
        <v>0.041713520749665285</v>
      </c>
      <c r="N887" s="6">
        <v>46034</v>
      </c>
      <c r="O887" s="5">
        <v>194.54</v>
      </c>
      <c r="P887" s="8" t="str">
        <f>IF(AND(L887&gt;0,O887&gt;0),(O887-L887)/L887,"")</f>
        <v/>
      </c>
      <c r="Q887" s="9">
        <v>32</v>
      </c>
      <c r="R887" s="9">
        <v>12</v>
      </c>
      <c r="S887" s="19">
        <f>IF(N887&gt;0,TODAY()-N887,"")</f>
        <v>77</v>
      </c>
    </row>
    <row r="888" ht="17" customHeight="1" spans="1:19" x14ac:dyDescent="0.25">
      <c r="A888" s="11" t="s">
        <v>20</v>
      </c>
      <c r="B888" s="11" t="s">
        <v>1791</v>
      </c>
      <c r="C888" s="11" t="s">
        <v>1796</v>
      </c>
      <c r="D888" s="11" t="s">
        <v>1797</v>
      </c>
      <c r="E888" s="12">
        <v>340.40000000000003</v>
      </c>
      <c r="F888" s="13">
        <v>269.90011750881314</v>
      </c>
      <c r="G888" s="14">
        <v>45701</v>
      </c>
      <c r="H888" s="13">
        <v>242.79</v>
      </c>
      <c r="I888" s="15" t="s">
        <v>60</v>
      </c>
      <c r="J888" s="13">
        <v>279.32</v>
      </c>
      <c r="K888" s="20">
        <f>IF(AND(H888&gt;0,J888&gt;0),(J888-H888)/H888,"")</f>
        <v>0.1504592446146876</v>
      </c>
      <c r="L888" s="13"/>
      <c r="M888" s="16" t="str">
        <f>IF(AND(J888&gt;0,L888&gt;0),(L888-J888)/J888,IF(AND(H888&gt;0,L888&gt;0),(L888-H888)/H888,""))</f>
        <v/>
      </c>
      <c r="N888" s="14">
        <v>46106</v>
      </c>
      <c r="O888" s="13">
        <v>300.55</v>
      </c>
      <c r="P888" s="17">
        <f>IF(AND(L888&gt;0,O888&gt;0),(O888-L888)/L888,"")</f>
        <v>0.07600601460690254</v>
      </c>
      <c r="Q888" s="18">
        <v>58</v>
      </c>
      <c r="R888" s="18">
        <v>8</v>
      </c>
      <c r="S888" s="18">
        <f>IF(N888&gt;0,TODAY()-N888,"")</f>
        <v>5</v>
      </c>
    </row>
    <row r="889" ht="17" customHeight="1" spans="1:19" x14ac:dyDescent="0.25">
      <c r="A889" s="3" t="s">
        <v>20</v>
      </c>
      <c r="B889" s="3" t="s">
        <v>1791</v>
      </c>
      <c r="C889" s="3" t="s">
        <v>1798</v>
      </c>
      <c r="D889" s="3" t="s">
        <v>1799</v>
      </c>
      <c r="E889" s="4">
        <v>211.965</v>
      </c>
      <c r="F889" s="5">
        <v>613.0951336305523</v>
      </c>
      <c r="G889" s="6">
        <v>45719</v>
      </c>
      <c r="H889" s="5">
        <v>485.76</v>
      </c>
      <c r="I889" s="7" t="s">
        <v>60</v>
      </c>
      <c r="J889" s="5">
        <v>605.72</v>
      </c>
      <c r="K889" s="22">
        <f>IF(AND(H889&gt;0,J889&gt;0),(J889-H889)/H889,"")</f>
        <v>0.24695322793148888</v>
      </c>
      <c r="L889" s="5">
        <v>646.91</v>
      </c>
      <c r="M889" s="24">
        <f>IF(AND(J889&gt;0,L889&gt;0),(L889-J889)/J889,IF(AND(H889&gt;0,L889&gt;0),(L889-H889)/H889,""))</f>
        <v>0.06800171696493419</v>
      </c>
      <c r="N889" s="6">
        <v>46106</v>
      </c>
      <c r="O889" s="5">
        <v>635.77</v>
      </c>
      <c r="P889" s="26">
        <f>IF(AND(L889&gt;0,O889&gt;0),(O889-L889)/L889,"")</f>
        <v>-0.017220324310955135</v>
      </c>
      <c r="Q889" s="9">
        <v>24</v>
      </c>
      <c r="R889" s="9">
        <v>17</v>
      </c>
      <c r="S889" s="9">
        <f>IF(N889&gt;0,TODAY()-N889,"")</f>
        <v>5</v>
      </c>
    </row>
    <row r="890" ht="17" customHeight="1" spans="1:19" x14ac:dyDescent="0.25">
      <c r="A890" s="11" t="s">
        <v>20</v>
      </c>
      <c r="B890" s="11" t="s">
        <v>1791</v>
      </c>
      <c r="C890" s="11" t="s">
        <v>1800</v>
      </c>
      <c r="D890" s="11" t="s">
        <v>1801</v>
      </c>
      <c r="E890" s="12">
        <v>23.79</v>
      </c>
      <c r="F890" s="13">
        <v>765.2324506094999</v>
      </c>
      <c r="G890" s="14">
        <v>45719</v>
      </c>
      <c r="H890" s="13">
        <v>690.69</v>
      </c>
      <c r="I890" s="15" t="s">
        <v>60</v>
      </c>
      <c r="J890" s="13">
        <v>882.72</v>
      </c>
      <c r="K890" s="23">
        <f>IF(AND(H890&gt;0,J890&gt;0),(J890-H890)/H890,"")</f>
        <v>0.2780263215045823</v>
      </c>
      <c r="L890" s="13"/>
      <c r="M890" s="16" t="str">
        <f>IF(AND(J890&gt;0,L890&gt;0),(L890-J890)/J890,IF(AND(H890&gt;0,L890&gt;0),(L890-H890)/H890,""))</f>
        <v/>
      </c>
      <c r="N890" s="14">
        <v>45967</v>
      </c>
      <c r="O890" s="13">
        <v>882.72</v>
      </c>
      <c r="P890" s="16" t="str">
        <f>IF(AND(L890&gt;0,O890&gt;0),(O890-L890)/L890,"")</f>
        <v/>
      </c>
      <c r="Q890" s="18">
        <v>83</v>
      </c>
      <c r="R890" s="18">
        <v>4</v>
      </c>
      <c r="S890" s="21">
        <f>IF(N890&gt;0,TODAY()-N890,"")</f>
        <v>144</v>
      </c>
    </row>
    <row r="891" ht="17" customHeight="1" spans="1:19" x14ac:dyDescent="0.25">
      <c r="A891" s="3" t="s">
        <v>20</v>
      </c>
      <c r="B891" s="3" t="s">
        <v>1791</v>
      </c>
      <c r="C891" s="3" t="s">
        <v>1802</v>
      </c>
      <c r="D891" s="3" t="s">
        <v>1803</v>
      </c>
      <c r="E891" s="4">
        <v>1</v>
      </c>
      <c r="F891" s="5">
        <v>329.17</v>
      </c>
      <c r="G891" s="6">
        <v>45805</v>
      </c>
      <c r="H891" s="5">
        <v>329.17</v>
      </c>
      <c r="I891" s="7" t="s">
        <v>24</v>
      </c>
      <c r="J891" s="5"/>
      <c r="K891" s="8" t="str">
        <f>IF(AND(H891&gt;0,J891&gt;0),(J891-H891)/H891,"")</f>
        <v/>
      </c>
      <c r="L891" s="5"/>
      <c r="M891" s="8" t="str">
        <f>IF(AND(J891&gt;0,L891&gt;0),(L891-J891)/J891,IF(AND(H891&gt;0,L891&gt;0),(L891-H891)/H891,""))</f>
        <v/>
      </c>
      <c r="N891" s="6">
        <v>45805</v>
      </c>
      <c r="O891" s="5">
        <v>329.17</v>
      </c>
      <c r="P891" s="8" t="str">
        <f>IF(AND(L891&gt;0,O891&gt;0),(O891-L891)/L891,"")</f>
        <v/>
      </c>
      <c r="Q891" s="9"/>
      <c r="R891" s="9">
        <v>1</v>
      </c>
      <c r="S891" s="10">
        <f>IF(N891&gt;0,TODAY()-N891,"")</f>
        <v>306</v>
      </c>
    </row>
    <row r="892" ht="17" customHeight="1" spans="1:19" x14ac:dyDescent="0.25">
      <c r="A892" s="11" t="s">
        <v>20</v>
      </c>
      <c r="B892" s="11" t="s">
        <v>1791</v>
      </c>
      <c r="C892" s="11" t="s">
        <v>1804</v>
      </c>
      <c r="D892" s="11" t="s">
        <v>1805</v>
      </c>
      <c r="E892" s="12">
        <v>5</v>
      </c>
      <c r="F892" s="13">
        <v>2646.5983800000004</v>
      </c>
      <c r="G892" s="14">
        <v>45860</v>
      </c>
      <c r="H892" s="13">
        <v>2630.83</v>
      </c>
      <c r="I892" s="15" t="s">
        <v>24</v>
      </c>
      <c r="J892" s="13"/>
      <c r="K892" s="16" t="str">
        <f>IF(AND(H892&gt;0,J892&gt;0),(J892-H892)/H892,"")</f>
        <v/>
      </c>
      <c r="L892" s="13"/>
      <c r="M892" s="16" t="str">
        <f>IF(AND(J892&gt;0,L892&gt;0),(L892-J892)/J892,IF(AND(H892&gt;0,L892&gt;0),(L892-H892)/H892,""))</f>
        <v/>
      </c>
      <c r="N892" s="14">
        <v>45895</v>
      </c>
      <c r="O892" s="13">
        <v>2670.25</v>
      </c>
      <c r="P892" s="16" t="str">
        <f>IF(AND(L892&gt;0,O892&gt;0),(O892-L892)/L892,"")</f>
        <v/>
      </c>
      <c r="Q892" s="18">
        <v>35</v>
      </c>
      <c r="R892" s="18">
        <v>2</v>
      </c>
      <c r="S892" s="10">
        <f>IF(N892&gt;0,TODAY()-N892,"")</f>
        <v>216</v>
      </c>
    </row>
    <row r="893" ht="17" customHeight="1" spans="1:19" x14ac:dyDescent="0.25">
      <c r="A893" s="3" t="s">
        <v>20</v>
      </c>
      <c r="B893" s="3" t="s">
        <v>1791</v>
      </c>
      <c r="C893" s="3" t="s">
        <v>1806</v>
      </c>
      <c r="D893" s="3" t="s">
        <v>1807</v>
      </c>
      <c r="E893" s="4">
        <v>3</v>
      </c>
      <c r="F893" s="5">
        <v>3056.616</v>
      </c>
      <c r="G893" s="6">
        <v>45895</v>
      </c>
      <c r="H893" s="5">
        <v>3056.62</v>
      </c>
      <c r="I893" s="7" t="s">
        <v>24</v>
      </c>
      <c r="J893" s="5"/>
      <c r="K893" s="8" t="str">
        <f>IF(AND(H893&gt;0,J893&gt;0),(J893-H893)/H893,"")</f>
        <v/>
      </c>
      <c r="L893" s="5"/>
      <c r="M893" s="8" t="str">
        <f>IF(AND(J893&gt;0,L893&gt;0),(L893-J893)/J893,IF(AND(H893&gt;0,L893&gt;0),(L893-H893)/H893,""))</f>
        <v/>
      </c>
      <c r="N893" s="6">
        <v>45895</v>
      </c>
      <c r="O893" s="5">
        <v>3056.62</v>
      </c>
      <c r="P893" s="8" t="str">
        <f>IF(AND(L893&gt;0,O893&gt;0),(O893-L893)/L893,"")</f>
        <v/>
      </c>
      <c r="Q893" s="9"/>
      <c r="R893" s="9">
        <v>1</v>
      </c>
      <c r="S893" s="10">
        <f>IF(N893&gt;0,TODAY()-N893,"")</f>
        <v>216</v>
      </c>
    </row>
    <row r="894" ht="17" customHeight="1" spans="1:19" x14ac:dyDescent="0.25">
      <c r="A894" s="11" t="s">
        <v>20</v>
      </c>
      <c r="B894" s="11" t="s">
        <v>1791</v>
      </c>
      <c r="C894" s="11" t="s">
        <v>1808</v>
      </c>
      <c r="D894" s="11" t="s">
        <v>1809</v>
      </c>
      <c r="E894" s="12">
        <v>29.477600000000002</v>
      </c>
      <c r="F894" s="13">
        <v>19680.24058946454</v>
      </c>
      <c r="G894" s="14">
        <v>45666</v>
      </c>
      <c r="H894" s="13">
        <v>23004.69</v>
      </c>
      <c r="I894" s="15" t="s">
        <v>54</v>
      </c>
      <c r="J894" s="13">
        <v>17333.44</v>
      </c>
      <c r="K894" s="25">
        <f>IF(AND(H894&gt;0,J894&gt;0),(J894-H894)/H894,"")</f>
        <v>-0.24652581712685545</v>
      </c>
      <c r="L894" s="13"/>
      <c r="M894" s="16" t="str">
        <f>IF(AND(J894&gt;0,L894&gt;0),(L894-J894)/J894,IF(AND(H894&gt;0,L894&gt;0),(L894-H894)/H894,""))</f>
        <v/>
      </c>
      <c r="N894" s="14">
        <v>46076</v>
      </c>
      <c r="O894" s="13">
        <v>19500</v>
      </c>
      <c r="P894" s="20">
        <f>IF(AND(L894&gt;0,O894&gt;0),(O894-L894)/L894,"")</f>
        <v>0.1249930769656803</v>
      </c>
      <c r="Q894" s="18">
        <v>46</v>
      </c>
      <c r="R894" s="18">
        <v>10</v>
      </c>
      <c r="S894" s="18">
        <f>IF(N894&gt;0,TODAY()-N894,"")</f>
        <v>35</v>
      </c>
    </row>
    <row r="895" ht="17" customHeight="1" spans="1:19" x14ac:dyDescent="0.25">
      <c r="A895" s="3" t="s">
        <v>20</v>
      </c>
      <c r="B895" s="3" t="s">
        <v>1791</v>
      </c>
      <c r="C895" s="3" t="s">
        <v>1810</v>
      </c>
      <c r="D895" s="3" t="s">
        <v>1811</v>
      </c>
      <c r="E895" s="4">
        <v>112.055</v>
      </c>
      <c r="F895" s="5">
        <v>1744.7476981750035</v>
      </c>
      <c r="G895" s="6">
        <v>45677</v>
      </c>
      <c r="H895" s="5">
        <v>1206.08</v>
      </c>
      <c r="I895" s="7" t="s">
        <v>60</v>
      </c>
      <c r="J895" s="5">
        <v>1671.29</v>
      </c>
      <c r="K895" s="23">
        <f>IF(AND(H895&gt;0,J895&gt;0),(J895-H895)/H895,"")</f>
        <v>0.3857206818784824</v>
      </c>
      <c r="L895" s="5"/>
      <c r="M895" s="8" t="str">
        <f>IF(AND(J895&gt;0,L895&gt;0),(L895-J895)/J895,IF(AND(H895&gt;0,L895&gt;0),(L895-H895)/H895,""))</f>
        <v/>
      </c>
      <c r="N895" s="6">
        <v>46059</v>
      </c>
      <c r="O895" s="5">
        <v>1748.21</v>
      </c>
      <c r="P895" s="24">
        <f>IF(AND(L895&gt;0,O895&gt;0),(O895-L895)/L895,"")</f>
        <v>0.0460243285127058</v>
      </c>
      <c r="Q895" s="9">
        <v>55</v>
      </c>
      <c r="R895" s="9">
        <v>8</v>
      </c>
      <c r="S895" s="9">
        <f>IF(N895&gt;0,TODAY()-N895,"")</f>
        <v>52</v>
      </c>
    </row>
    <row r="896" ht="17" customHeight="1" spans="1:19" x14ac:dyDescent="0.25">
      <c r="A896" s="11" t="s">
        <v>20</v>
      </c>
      <c r="B896" s="11" t="s">
        <v>1791</v>
      </c>
      <c r="C896" s="11" t="s">
        <v>1812</v>
      </c>
      <c r="D896" s="11" t="s">
        <v>1813</v>
      </c>
      <c r="E896" s="12">
        <v>1027</v>
      </c>
      <c r="F896" s="13">
        <v>1501.9621709834469</v>
      </c>
      <c r="G896" s="14">
        <v>45671</v>
      </c>
      <c r="H896" s="13">
        <v>1468.8</v>
      </c>
      <c r="I896" s="15" t="s">
        <v>54</v>
      </c>
      <c r="J896" s="13">
        <v>1641.67</v>
      </c>
      <c r="K896" s="20">
        <f>IF(AND(H896&gt;0,J896&gt;0),(J896-H896)/H896,"")</f>
        <v>0.11769471677559923</v>
      </c>
      <c r="L896" s="13">
        <v>1666.67</v>
      </c>
      <c r="M896" s="17">
        <f>IF(AND(J896&gt;0,L896&gt;0),(L896-J896)/J896,IF(AND(H896&gt;0,L896&gt;0),(L896-H896)/H896,""))</f>
        <v>0.015228395475339137</v>
      </c>
      <c r="N896" s="14">
        <v>46106</v>
      </c>
      <c r="O896" s="13">
        <v>1713.83</v>
      </c>
      <c r="P896" s="17">
        <f>IF(AND(L896&gt;0,O896&gt;0),(O896-L896)/L896,"")</f>
        <v>0.028295943408113096</v>
      </c>
      <c r="Q896" s="18">
        <v>11</v>
      </c>
      <c r="R896" s="18">
        <v>40</v>
      </c>
      <c r="S896" s="18">
        <f>IF(N896&gt;0,TODAY()-N896,"")</f>
        <v>5</v>
      </c>
    </row>
    <row r="897" ht="17" customHeight="1" spans="1:19" x14ac:dyDescent="0.25">
      <c r="A897" s="3" t="s">
        <v>20</v>
      </c>
      <c r="B897" s="3" t="s">
        <v>1791</v>
      </c>
      <c r="C897" s="3" t="s">
        <v>1814</v>
      </c>
      <c r="D897" s="3" t="s">
        <v>1815</v>
      </c>
      <c r="E897" s="4">
        <v>2</v>
      </c>
      <c r="F897" s="5">
        <v>1675</v>
      </c>
      <c r="G897" s="6">
        <v>45681</v>
      </c>
      <c r="H897" s="5">
        <v>1675</v>
      </c>
      <c r="I897" s="7" t="s">
        <v>24</v>
      </c>
      <c r="J897" s="5"/>
      <c r="K897" s="8" t="str">
        <f>IF(AND(H897&gt;0,J897&gt;0),(J897-H897)/H897,"")</f>
        <v/>
      </c>
      <c r="L897" s="5"/>
      <c r="M897" s="8" t="str">
        <f>IF(AND(J897&gt;0,L897&gt;0),(L897-J897)/J897,IF(AND(H897&gt;0,L897&gt;0),(L897-H897)/H897,""))</f>
        <v/>
      </c>
      <c r="N897" s="6">
        <v>45685</v>
      </c>
      <c r="O897" s="5">
        <v>1675</v>
      </c>
      <c r="P897" s="8" t="str">
        <f>IF(AND(L897&gt;0,O897&gt;0),(O897-L897)/L897,"")</f>
        <v/>
      </c>
      <c r="Q897" s="9">
        <v>4</v>
      </c>
      <c r="R897" s="9">
        <v>2</v>
      </c>
      <c r="S897" s="10">
        <f>IF(N897&gt;0,TODAY()-N897,"")</f>
        <v>426</v>
      </c>
    </row>
    <row r="898" ht="17" customHeight="1" spans="1:19" x14ac:dyDescent="0.25">
      <c r="A898" s="11" t="s">
        <v>20</v>
      </c>
      <c r="B898" s="11" t="s">
        <v>1791</v>
      </c>
      <c r="C898" s="11" t="s">
        <v>1816</v>
      </c>
      <c r="D898" s="11" t="s">
        <v>1817</v>
      </c>
      <c r="E898" s="12">
        <v>3</v>
      </c>
      <c r="F898" s="13">
        <v>3226.67</v>
      </c>
      <c r="G898" s="14">
        <v>46017</v>
      </c>
      <c r="H898" s="13">
        <v>3226.67</v>
      </c>
      <c r="I898" s="15" t="s">
        <v>54</v>
      </c>
      <c r="J898" s="13">
        <v>3226.67</v>
      </c>
      <c r="K898" s="17">
        <f>IF(AND(H898&gt;0,J898&gt;0),(J898-H898)/H898,"")</f>
        <v>0</v>
      </c>
      <c r="L898" s="13"/>
      <c r="M898" s="16" t="str">
        <f>IF(AND(J898&gt;0,L898&gt;0),(L898-J898)/J898,IF(AND(H898&gt;0,L898&gt;0),(L898-H898)/H898,""))</f>
        <v/>
      </c>
      <c r="N898" s="14">
        <v>46017</v>
      </c>
      <c r="O898" s="13">
        <v>3226.67</v>
      </c>
      <c r="P898" s="16" t="str">
        <f>IF(AND(L898&gt;0,O898&gt;0),(O898-L898)/L898,"")</f>
        <v/>
      </c>
      <c r="Q898" s="18"/>
      <c r="R898" s="18">
        <v>1</v>
      </c>
      <c r="S898" s="21">
        <f>IF(N898&gt;0,TODAY()-N898,"")</f>
        <v>94</v>
      </c>
    </row>
    <row r="899" ht="17" customHeight="1" spans="1:19" x14ac:dyDescent="0.25">
      <c r="A899" s="3" t="s">
        <v>20</v>
      </c>
      <c r="B899" s="3" t="s">
        <v>1791</v>
      </c>
      <c r="C899" s="3" t="s">
        <v>1818</v>
      </c>
      <c r="D899" s="3" t="s">
        <v>1819</v>
      </c>
      <c r="E899" s="4">
        <v>5</v>
      </c>
      <c r="F899" s="5">
        <v>1843.33</v>
      </c>
      <c r="G899" s="6">
        <v>46017</v>
      </c>
      <c r="H899" s="5">
        <v>1843.33</v>
      </c>
      <c r="I899" s="7" t="s">
        <v>54</v>
      </c>
      <c r="J899" s="5">
        <v>1843.33</v>
      </c>
      <c r="K899" s="24">
        <f>IF(AND(H899&gt;0,J899&gt;0),(J899-H899)/H899,"")</f>
        <v>0</v>
      </c>
      <c r="L899" s="5"/>
      <c r="M899" s="8" t="str">
        <f>IF(AND(J899&gt;0,L899&gt;0),(L899-J899)/J899,IF(AND(H899&gt;0,L899&gt;0),(L899-H899)/H899,""))</f>
        <v/>
      </c>
      <c r="N899" s="6">
        <v>46017</v>
      </c>
      <c r="O899" s="5">
        <v>1843.33</v>
      </c>
      <c r="P899" s="8" t="str">
        <f>IF(AND(L899&gt;0,O899&gt;0),(O899-L899)/L899,"")</f>
        <v/>
      </c>
      <c r="Q899" s="9"/>
      <c r="R899" s="9">
        <v>1</v>
      </c>
      <c r="S899" s="21">
        <f>IF(N899&gt;0,TODAY()-N899,"")</f>
        <v>94</v>
      </c>
    </row>
    <row r="900" ht="17" customHeight="1" spans="1:19" x14ac:dyDescent="0.25">
      <c r="A900" s="11" t="s">
        <v>20</v>
      </c>
      <c r="B900" s="11" t="s">
        <v>1791</v>
      </c>
      <c r="C900" s="11" t="s">
        <v>1820</v>
      </c>
      <c r="D900" s="11" t="s">
        <v>1821</v>
      </c>
      <c r="E900" s="12">
        <v>77</v>
      </c>
      <c r="F900" s="13">
        <v>1310.9854545454546</v>
      </c>
      <c r="G900" s="14">
        <v>45677</v>
      </c>
      <c r="H900" s="13">
        <v>1229.17</v>
      </c>
      <c r="I900" s="15" t="s">
        <v>54</v>
      </c>
      <c r="J900" s="13">
        <v>1312.5</v>
      </c>
      <c r="K900" s="17">
        <f>IF(AND(H900&gt;0,J900&gt;0),(J900-H900)/H900,"")</f>
        <v>0.06779371445772345</v>
      </c>
      <c r="L900" s="13">
        <v>1479.17</v>
      </c>
      <c r="M900" s="20">
        <f>IF(AND(J900&gt;0,L900&gt;0),(L900-J900)/J900,IF(AND(H900&gt;0,L900&gt;0),(L900-H900)/H900,""))</f>
        <v>0.12698666666666672</v>
      </c>
      <c r="N900" s="14">
        <v>46087</v>
      </c>
      <c r="O900" s="13">
        <v>1416.67</v>
      </c>
      <c r="P900" s="25">
        <f>IF(AND(L900&gt;0,O900&gt;0),(O900-L900)/L900,"")</f>
        <v>-0.0422534259077726</v>
      </c>
      <c r="Q900" s="18">
        <v>37</v>
      </c>
      <c r="R900" s="18">
        <v>12</v>
      </c>
      <c r="S900" s="18">
        <f>IF(N900&gt;0,TODAY()-N900,"")</f>
        <v>24</v>
      </c>
    </row>
    <row r="901" ht="17" customHeight="1" spans="1:19" x14ac:dyDescent="0.25">
      <c r="A901" s="3" t="s">
        <v>20</v>
      </c>
      <c r="B901" s="3" t="s">
        <v>1791</v>
      </c>
      <c r="C901" s="3" t="s">
        <v>1822</v>
      </c>
      <c r="D901" s="3" t="s">
        <v>1823</v>
      </c>
      <c r="E901" s="4">
        <v>146</v>
      </c>
      <c r="F901" s="5">
        <v>1645.9187671232876</v>
      </c>
      <c r="G901" s="6">
        <v>45677</v>
      </c>
      <c r="H901" s="5">
        <v>1541.67</v>
      </c>
      <c r="I901" s="7" t="s">
        <v>54</v>
      </c>
      <c r="J901" s="5">
        <v>1625</v>
      </c>
      <c r="K901" s="24">
        <f>IF(AND(H901&gt;0,J901&gt;0),(J901-H901)/H901,"")</f>
        <v>0.054051775023189086</v>
      </c>
      <c r="L901" s="5">
        <v>1854.17</v>
      </c>
      <c r="M901" s="22">
        <f>IF(AND(J901&gt;0,L901&gt;0),(L901-J901)/J901,IF(AND(H901&gt;0,L901&gt;0),(L901-H901)/H901,""))</f>
        <v>0.14102769230769235</v>
      </c>
      <c r="N901" s="6">
        <v>46106</v>
      </c>
      <c r="O901" s="5">
        <v>1833.33</v>
      </c>
      <c r="P901" s="26">
        <f>IF(AND(L901&gt;0,O901&gt;0),(O901-L901)/L901,"")</f>
        <v>-0.011239530355900562</v>
      </c>
      <c r="Q901" s="9">
        <v>20</v>
      </c>
      <c r="R901" s="9">
        <v>23</v>
      </c>
      <c r="S901" s="9">
        <f>IF(N901&gt;0,TODAY()-N901,"")</f>
        <v>5</v>
      </c>
    </row>
    <row r="902" ht="17" customHeight="1" spans="1:19" x14ac:dyDescent="0.25">
      <c r="A902" s="11" t="s">
        <v>20</v>
      </c>
      <c r="B902" s="11" t="s">
        <v>1791</v>
      </c>
      <c r="C902" s="11" t="s">
        <v>1824</v>
      </c>
      <c r="D902" s="11" t="s">
        <v>1825</v>
      </c>
      <c r="E902" s="12">
        <v>844</v>
      </c>
      <c r="F902" s="13">
        <v>581.3479331753555</v>
      </c>
      <c r="G902" s="14">
        <v>45677</v>
      </c>
      <c r="H902" s="13">
        <v>520.85</v>
      </c>
      <c r="I902" s="15" t="s">
        <v>54</v>
      </c>
      <c r="J902" s="13">
        <v>625</v>
      </c>
      <c r="K902" s="20">
        <f>IF(AND(H902&gt;0,J902&gt;0),(J902-H902)/H902,"")</f>
        <v>0.19996160122876064</v>
      </c>
      <c r="L902" s="13">
        <v>666.67</v>
      </c>
      <c r="M902" s="17">
        <f>IF(AND(J902&gt;0,L902&gt;0),(L902-J902)/J902,IF(AND(H902&gt;0,L902&gt;0),(L902-H902)/H902,""))</f>
        <v>0.06667199999999994</v>
      </c>
      <c r="N902" s="14">
        <v>46106</v>
      </c>
      <c r="O902" s="13">
        <v>666.67</v>
      </c>
      <c r="P902" s="17">
        <f>IF(AND(L902&gt;0,O902&gt;0),(O902-L902)/L902,"")</f>
        <v>0</v>
      </c>
      <c r="Q902" s="18">
        <v>14</v>
      </c>
      <c r="R902" s="18">
        <v>32</v>
      </c>
      <c r="S902" s="18">
        <f>IF(N902&gt;0,TODAY()-N902,"")</f>
        <v>5</v>
      </c>
    </row>
    <row r="903" ht="17" customHeight="1" spans="1:19" x14ac:dyDescent="0.25">
      <c r="A903" s="3" t="s">
        <v>20</v>
      </c>
      <c r="B903" s="3" t="s">
        <v>1791</v>
      </c>
      <c r="C903" s="3" t="s">
        <v>1826</v>
      </c>
      <c r="D903" s="3" t="s">
        <v>1827</v>
      </c>
      <c r="E903" s="4">
        <v>343</v>
      </c>
      <c r="F903" s="5">
        <v>911.3041690962098</v>
      </c>
      <c r="G903" s="6">
        <v>45677</v>
      </c>
      <c r="H903" s="5">
        <v>816.67</v>
      </c>
      <c r="I903" s="7" t="s">
        <v>54</v>
      </c>
      <c r="J903" s="5">
        <v>958.33</v>
      </c>
      <c r="K903" s="22">
        <f>IF(AND(H903&gt;0,J903&gt;0),(J903-H903)/H903,"")</f>
        <v>0.17346051648768793</v>
      </c>
      <c r="L903" s="5">
        <v>1066.67</v>
      </c>
      <c r="M903" s="22">
        <f>IF(AND(J903&gt;0,L903&gt;0),(L903-J903)/J903,IF(AND(H903&gt;0,L903&gt;0),(L903-H903)/H903,""))</f>
        <v>0.11305082800288004</v>
      </c>
      <c r="N903" s="6">
        <v>46106</v>
      </c>
      <c r="O903" s="5">
        <v>1041.67</v>
      </c>
      <c r="P903" s="26">
        <f>IF(AND(L903&gt;0,O903&gt;0),(O903-L903)/L903,"")</f>
        <v>-0.02343742675804138</v>
      </c>
      <c r="Q903" s="9">
        <v>16</v>
      </c>
      <c r="R903" s="9">
        <v>28</v>
      </c>
      <c r="S903" s="9">
        <f>IF(N903&gt;0,TODAY()-N903,"")</f>
        <v>5</v>
      </c>
    </row>
    <row r="904" ht="17" customHeight="1" spans="1:19" x14ac:dyDescent="0.25">
      <c r="A904" s="11" t="s">
        <v>20</v>
      </c>
      <c r="B904" s="11" t="s">
        <v>1791</v>
      </c>
      <c r="C904" s="11" t="s">
        <v>1828</v>
      </c>
      <c r="D904" s="11" t="s">
        <v>1829</v>
      </c>
      <c r="E904" s="12">
        <v>57</v>
      </c>
      <c r="F904" s="13">
        <v>1155.8361403508773</v>
      </c>
      <c r="G904" s="14">
        <v>45698</v>
      </c>
      <c r="H904" s="13">
        <v>1029.17</v>
      </c>
      <c r="I904" s="15" t="s">
        <v>24</v>
      </c>
      <c r="J904" s="13"/>
      <c r="K904" s="16" t="str">
        <f>IF(AND(H904&gt;0,J904&gt;0),(J904-H904)/H904,"")</f>
        <v/>
      </c>
      <c r="L904" s="13"/>
      <c r="M904" s="16" t="str">
        <f>IF(AND(J904&gt;0,L904&gt;0),(L904-J904)/J904,IF(AND(H904&gt;0,L904&gt;0),(L904-H904)/H904,""))</f>
        <v/>
      </c>
      <c r="N904" s="14">
        <v>46106</v>
      </c>
      <c r="O904" s="13">
        <v>1380</v>
      </c>
      <c r="P904" s="23">
        <f>IF(AND(L904&gt;0,O904&gt;0),(O904-L904)/L904,"")</f>
        <v>0.34088634530738354</v>
      </c>
      <c r="Q904" s="18">
        <v>136</v>
      </c>
      <c r="R904" s="18">
        <v>4</v>
      </c>
      <c r="S904" s="18">
        <f>IF(N904&gt;0,TODAY()-N904,"")</f>
        <v>5</v>
      </c>
    </row>
    <row r="905" ht="17" customHeight="1" spans="1:19" x14ac:dyDescent="0.25">
      <c r="A905" s="3" t="s">
        <v>20</v>
      </c>
      <c r="B905" s="3" t="s">
        <v>1791</v>
      </c>
      <c r="C905" s="3" t="s">
        <v>1830</v>
      </c>
      <c r="D905" s="3" t="s">
        <v>1831</v>
      </c>
      <c r="E905" s="4">
        <v>70</v>
      </c>
      <c r="F905" s="5">
        <v>1245.8237142857142</v>
      </c>
      <c r="G905" s="6">
        <v>45705</v>
      </c>
      <c r="H905" s="5">
        <v>1042.93</v>
      </c>
      <c r="I905" s="7" t="s">
        <v>57</v>
      </c>
      <c r="J905" s="5">
        <v>1221.75</v>
      </c>
      <c r="K905" s="22">
        <f>IF(AND(H905&gt;0,J905&gt;0),(J905-H905)/H905,"")</f>
        <v>0.17145925421648617</v>
      </c>
      <c r="L905" s="5"/>
      <c r="M905" s="8" t="str">
        <f>IF(AND(J905&gt;0,L905&gt;0),(L905-J905)/J905,IF(AND(H905&gt;0,L905&gt;0),(L905-H905)/H905,""))</f>
        <v/>
      </c>
      <c r="N905" s="6">
        <v>46106</v>
      </c>
      <c r="O905" s="5">
        <v>1400</v>
      </c>
      <c r="P905" s="22">
        <f>IF(AND(L905&gt;0,O905&gt;0),(O905-L905)/L905,"")</f>
        <v>0.14589727849396358</v>
      </c>
      <c r="Q905" s="9">
        <v>67</v>
      </c>
      <c r="R905" s="9">
        <v>7</v>
      </c>
      <c r="S905" s="9">
        <f>IF(N905&gt;0,TODAY()-N905,"")</f>
        <v>5</v>
      </c>
    </row>
    <row r="906" ht="17" customHeight="1" spans="1:19" x14ac:dyDescent="0.25">
      <c r="A906" s="11" t="s">
        <v>20</v>
      </c>
      <c r="B906" s="11" t="s">
        <v>1791</v>
      </c>
      <c r="C906" s="11" t="s">
        <v>1832</v>
      </c>
      <c r="D906" s="11" t="s">
        <v>1833</v>
      </c>
      <c r="E906" s="12">
        <v>2</v>
      </c>
      <c r="F906" s="13">
        <v>1041.665</v>
      </c>
      <c r="G906" s="14">
        <v>45888</v>
      </c>
      <c r="H906" s="13">
        <v>1041.66</v>
      </c>
      <c r="I906" s="15" t="s">
        <v>24</v>
      </c>
      <c r="J906" s="13"/>
      <c r="K906" s="16" t="str">
        <f>IF(AND(H906&gt;0,J906&gt;0),(J906-H906)/H906,"")</f>
        <v/>
      </c>
      <c r="L906" s="13"/>
      <c r="M906" s="16" t="str">
        <f>IF(AND(J906&gt;0,L906&gt;0),(L906-J906)/J906,IF(AND(H906&gt;0,L906&gt;0),(L906-H906)/H906,""))</f>
        <v/>
      </c>
      <c r="N906" s="14">
        <v>45888</v>
      </c>
      <c r="O906" s="13">
        <v>1041.66</v>
      </c>
      <c r="P906" s="16" t="str">
        <f>IF(AND(L906&gt;0,O906&gt;0),(O906-L906)/L906,"")</f>
        <v/>
      </c>
      <c r="Q906" s="18"/>
      <c r="R906" s="18">
        <v>1</v>
      </c>
      <c r="S906" s="10">
        <f>IF(N906&gt;0,TODAY()-N906,"")</f>
        <v>223</v>
      </c>
    </row>
    <row r="907" ht="17" customHeight="1" spans="1:19" x14ac:dyDescent="0.25">
      <c r="A907" s="3" t="s">
        <v>20</v>
      </c>
      <c r="B907" s="3" t="s">
        <v>1791</v>
      </c>
      <c r="C907" s="3" t="s">
        <v>1834</v>
      </c>
      <c r="D907" s="3" t="s">
        <v>1835</v>
      </c>
      <c r="E907" s="4">
        <v>1</v>
      </c>
      <c r="F907" s="5">
        <v>1962.5</v>
      </c>
      <c r="G907" s="6">
        <v>46065</v>
      </c>
      <c r="H907" s="5">
        <v>1962.5</v>
      </c>
      <c r="I907" s="7" t="s">
        <v>24</v>
      </c>
      <c r="J907" s="5"/>
      <c r="K907" s="8" t="str">
        <f>IF(AND(H907&gt;0,J907&gt;0),(J907-H907)/H907,"")</f>
        <v/>
      </c>
      <c r="L907" s="5"/>
      <c r="M907" s="8" t="str">
        <f>IF(AND(J907&gt;0,L907&gt;0),(L907-J907)/J907,IF(AND(H907&gt;0,L907&gt;0),(L907-H907)/H907,""))</f>
        <v/>
      </c>
      <c r="N907" s="6">
        <v>46065</v>
      </c>
      <c r="O907" s="5">
        <v>1962.5</v>
      </c>
      <c r="P907" s="24">
        <f>IF(AND(L907&gt;0,O907&gt;0),(O907-L907)/L907,"")</f>
        <v>0</v>
      </c>
      <c r="Q907" s="9"/>
      <c r="R907" s="9">
        <v>1</v>
      </c>
      <c r="S907" s="9">
        <f>IF(N907&gt;0,TODAY()-N907,"")</f>
        <v>46</v>
      </c>
    </row>
    <row r="908" ht="17" customHeight="1" spans="1:19" x14ac:dyDescent="0.25">
      <c r="A908" s="11" t="s">
        <v>20</v>
      </c>
      <c r="B908" s="11" t="s">
        <v>1791</v>
      </c>
      <c r="C908" s="11" t="s">
        <v>1836</v>
      </c>
      <c r="D908" s="11" t="s">
        <v>1837</v>
      </c>
      <c r="E908" s="12">
        <v>1</v>
      </c>
      <c r="F908" s="13">
        <v>2582.5</v>
      </c>
      <c r="G908" s="14">
        <v>46071</v>
      </c>
      <c r="H908" s="13">
        <v>2582.5</v>
      </c>
      <c r="I908" s="15" t="s">
        <v>24</v>
      </c>
      <c r="J908" s="13"/>
      <c r="K908" s="16" t="str">
        <f>IF(AND(H908&gt;0,J908&gt;0),(J908-H908)/H908,"")</f>
        <v/>
      </c>
      <c r="L908" s="13"/>
      <c r="M908" s="16" t="str">
        <f>IF(AND(J908&gt;0,L908&gt;0),(L908-J908)/J908,IF(AND(H908&gt;0,L908&gt;0),(L908-H908)/H908,""))</f>
        <v/>
      </c>
      <c r="N908" s="14">
        <v>46071</v>
      </c>
      <c r="O908" s="13">
        <v>2582.5</v>
      </c>
      <c r="P908" s="17">
        <f>IF(AND(L908&gt;0,O908&gt;0),(O908-L908)/L908,"")</f>
        <v>0</v>
      </c>
      <c r="Q908" s="18"/>
      <c r="R908" s="18">
        <v>1</v>
      </c>
      <c r="S908" s="18">
        <f>IF(N908&gt;0,TODAY()-N908,"")</f>
        <v>40</v>
      </c>
    </row>
    <row r="909" ht="17" customHeight="1" spans="1:19" x14ac:dyDescent="0.25">
      <c r="A909" s="3" t="s">
        <v>20</v>
      </c>
      <c r="B909" s="3" t="s">
        <v>1791</v>
      </c>
      <c r="C909" s="3" t="s">
        <v>1838</v>
      </c>
      <c r="D909" s="3" t="s">
        <v>1839</v>
      </c>
      <c r="E909" s="4">
        <v>2</v>
      </c>
      <c r="F909" s="5">
        <v>1354</v>
      </c>
      <c r="G909" s="6">
        <v>45832</v>
      </c>
      <c r="H909" s="5">
        <v>1354</v>
      </c>
      <c r="I909" s="7" t="s">
        <v>24</v>
      </c>
      <c r="J909" s="5"/>
      <c r="K909" s="8" t="str">
        <f>IF(AND(H909&gt;0,J909&gt;0),(J909-H909)/H909,"")</f>
        <v/>
      </c>
      <c r="L909" s="5"/>
      <c r="M909" s="8" t="str">
        <f>IF(AND(J909&gt;0,L909&gt;0),(L909-J909)/J909,IF(AND(H909&gt;0,L909&gt;0),(L909-H909)/H909,""))</f>
        <v/>
      </c>
      <c r="N909" s="6">
        <v>45832</v>
      </c>
      <c r="O909" s="5">
        <v>1354</v>
      </c>
      <c r="P909" s="8" t="str">
        <f>IF(AND(L909&gt;0,O909&gt;0),(O909-L909)/L909,"")</f>
        <v/>
      </c>
      <c r="Q909" s="9"/>
      <c r="R909" s="9">
        <v>1</v>
      </c>
      <c r="S909" s="10">
        <f>IF(N909&gt;0,TODAY()-N909,"")</f>
        <v>279</v>
      </c>
    </row>
    <row r="910" ht="17" customHeight="1" spans="1:19" x14ac:dyDescent="0.25">
      <c r="A910" s="11" t="s">
        <v>20</v>
      </c>
      <c r="B910" s="11" t="s">
        <v>1791</v>
      </c>
      <c r="C910" s="11" t="s">
        <v>1840</v>
      </c>
      <c r="D910" s="11" t="s">
        <v>1841</v>
      </c>
      <c r="E910" s="12">
        <v>2</v>
      </c>
      <c r="F910" s="13">
        <v>1887.5</v>
      </c>
      <c r="G910" s="14">
        <v>45750</v>
      </c>
      <c r="H910" s="13">
        <v>1887.5</v>
      </c>
      <c r="I910" s="15" t="s">
        <v>24</v>
      </c>
      <c r="J910" s="13"/>
      <c r="K910" s="16" t="str">
        <f>IF(AND(H910&gt;0,J910&gt;0),(J910-H910)/H910,"")</f>
        <v/>
      </c>
      <c r="L910" s="13"/>
      <c r="M910" s="16" t="str">
        <f>IF(AND(J910&gt;0,L910&gt;0),(L910-J910)/J910,IF(AND(H910&gt;0,L910&gt;0),(L910-H910)/H910,""))</f>
        <v/>
      </c>
      <c r="N910" s="14">
        <v>45750</v>
      </c>
      <c r="O910" s="13">
        <v>1887.5</v>
      </c>
      <c r="P910" s="16" t="str">
        <f>IF(AND(L910&gt;0,O910&gt;0),(O910-L910)/L910,"")</f>
        <v/>
      </c>
      <c r="Q910" s="18"/>
      <c r="R910" s="18">
        <v>1</v>
      </c>
      <c r="S910" s="10">
        <f>IF(N910&gt;0,TODAY()-N910,"")</f>
        <v>361</v>
      </c>
    </row>
    <row r="911" ht="17" customHeight="1" spans="1:19" x14ac:dyDescent="0.25">
      <c r="A911" s="3" t="s">
        <v>20</v>
      </c>
      <c r="B911" s="3" t="s">
        <v>1791</v>
      </c>
      <c r="C911" s="3" t="s">
        <v>1842</v>
      </c>
      <c r="D911" s="3" t="s">
        <v>1843</v>
      </c>
      <c r="E911" s="4">
        <v>11</v>
      </c>
      <c r="F911" s="5">
        <v>2452.2772727272727</v>
      </c>
      <c r="G911" s="6">
        <v>45671</v>
      </c>
      <c r="H911" s="5">
        <v>2033.35</v>
      </c>
      <c r="I911" s="7" t="s">
        <v>54</v>
      </c>
      <c r="J911" s="5">
        <v>2875</v>
      </c>
      <c r="K911" s="23">
        <f>IF(AND(H911&gt;0,J911&gt;0),(J911-H911)/H911,"")</f>
        <v>0.4139228366980599</v>
      </c>
      <c r="L911" s="5"/>
      <c r="M911" s="8" t="str">
        <f>IF(AND(J911&gt;0,L911&gt;0),(L911-J911)/J911,IF(AND(H911&gt;0,L911&gt;0),(L911-H911)/H911,""))</f>
        <v/>
      </c>
      <c r="N911" s="6">
        <v>46086</v>
      </c>
      <c r="O911" s="5">
        <v>3000</v>
      </c>
      <c r="P911" s="24">
        <f>IF(AND(L911&gt;0,O911&gt;0),(O911-L911)/L911,"")</f>
        <v>0.043478260869565216</v>
      </c>
      <c r="Q911" s="9">
        <v>104</v>
      </c>
      <c r="R911" s="9">
        <v>5</v>
      </c>
      <c r="S911" s="9">
        <f>IF(N911&gt;0,TODAY()-N911,"")</f>
        <v>25</v>
      </c>
    </row>
    <row r="912" ht="17" customHeight="1" spans="1:19" x14ac:dyDescent="0.25">
      <c r="A912" s="11" t="s">
        <v>20</v>
      </c>
      <c r="B912" s="11" t="s">
        <v>1791</v>
      </c>
      <c r="C912" s="11" t="s">
        <v>1844</v>
      </c>
      <c r="D912" s="11" t="s">
        <v>1845</v>
      </c>
      <c r="E912" s="12">
        <v>14</v>
      </c>
      <c r="F912" s="13">
        <v>1053.0571428571427</v>
      </c>
      <c r="G912" s="14">
        <v>45895</v>
      </c>
      <c r="H912" s="13">
        <v>643.95</v>
      </c>
      <c r="I912" s="15" t="s">
        <v>57</v>
      </c>
      <c r="J912" s="13">
        <v>1216.7</v>
      </c>
      <c r="K912" s="23">
        <f>IF(AND(H912&gt;0,J912&gt;0),(J912-H912)/H912,"")</f>
        <v>0.8894324093485518</v>
      </c>
      <c r="L912" s="13"/>
      <c r="M912" s="16" t="str">
        <f>IF(AND(J912&gt;0,L912&gt;0),(L912-J912)/J912,IF(AND(H912&gt;0,L912&gt;0),(L912-H912)/H912,""))</f>
        <v/>
      </c>
      <c r="N912" s="14">
        <v>45945</v>
      </c>
      <c r="O912" s="13">
        <v>1216.7</v>
      </c>
      <c r="P912" s="16" t="str">
        <f>IF(AND(L912&gt;0,O912&gt;0),(O912-L912)/L912,"")</f>
        <v/>
      </c>
      <c r="Q912" s="18">
        <v>50</v>
      </c>
      <c r="R912" s="18">
        <v>2</v>
      </c>
      <c r="S912" s="21">
        <f>IF(N912&gt;0,TODAY()-N912,"")</f>
        <v>166</v>
      </c>
    </row>
    <row r="913" ht="17" customHeight="1" spans="1:19" x14ac:dyDescent="0.25">
      <c r="A913" s="3" t="s">
        <v>20</v>
      </c>
      <c r="B913" s="3" t="s">
        <v>1791</v>
      </c>
      <c r="C913" s="3" t="s">
        <v>1846</v>
      </c>
      <c r="D913" s="3" t="s">
        <v>1847</v>
      </c>
      <c r="E913" s="4">
        <v>747.1849999999998</v>
      </c>
      <c r="F913" s="5">
        <v>279.79147065318494</v>
      </c>
      <c r="G913" s="6">
        <v>45671</v>
      </c>
      <c r="H913" s="5">
        <v>224.88</v>
      </c>
      <c r="I913" s="7" t="s">
        <v>54</v>
      </c>
      <c r="J913" s="5">
        <v>283.31</v>
      </c>
      <c r="K913" s="23">
        <f>IF(AND(H913&gt;0,J913&gt;0),(J913-H913)/H913,"")</f>
        <v>0.2598274635361082</v>
      </c>
      <c r="L913" s="5">
        <v>291.09</v>
      </c>
      <c r="M913" s="24">
        <f>IF(AND(J913&gt;0,L913&gt;0),(L913-J913)/J913,IF(AND(H913&gt;0,L913&gt;0),(L913-H913)/H913,""))</f>
        <v>0.02746108503053183</v>
      </c>
      <c r="N913" s="6">
        <v>46106</v>
      </c>
      <c r="O913" s="5">
        <v>300.55</v>
      </c>
      <c r="P913" s="24">
        <f>IF(AND(L913&gt;0,O913&gt;0),(O913-L913)/L913,"")</f>
        <v>0.032498539970456</v>
      </c>
      <c r="Q913" s="9">
        <v>23</v>
      </c>
      <c r="R913" s="9">
        <v>20</v>
      </c>
      <c r="S913" s="9">
        <f>IF(N913&gt;0,TODAY()-N913,"")</f>
        <v>5</v>
      </c>
    </row>
    <row r="914" ht="17" customHeight="1" spans="1:19" x14ac:dyDescent="0.25">
      <c r="A914" s="11" t="s">
        <v>20</v>
      </c>
      <c r="B914" s="11" t="s">
        <v>1791</v>
      </c>
      <c r="C914" s="11" t="s">
        <v>1848</v>
      </c>
      <c r="D914" s="11" t="s">
        <v>1849</v>
      </c>
      <c r="E914" s="12">
        <v>2214.59</v>
      </c>
      <c r="F914" s="13">
        <v>192.49452043041825</v>
      </c>
      <c r="G914" s="14">
        <v>45681</v>
      </c>
      <c r="H914" s="13">
        <v>154.52</v>
      </c>
      <c r="I914" s="15" t="s">
        <v>54</v>
      </c>
      <c r="J914" s="13">
        <v>189.62</v>
      </c>
      <c r="K914" s="20">
        <f>IF(AND(H914&gt;0,J914&gt;0),(J914-H914)/H914,"")</f>
        <v>0.227155060833549</v>
      </c>
      <c r="L914" s="13">
        <v>194.68</v>
      </c>
      <c r="M914" s="17">
        <f>IF(AND(J914&gt;0,L914&gt;0),(L914-J914)/J914,IF(AND(H914&gt;0,L914&gt;0),(L914-H914)/H914,""))</f>
        <v>0.02668494884505855</v>
      </c>
      <c r="N914" s="14">
        <v>46106</v>
      </c>
      <c r="O914" s="13">
        <v>203.08</v>
      </c>
      <c r="P914" s="17">
        <f>IF(AND(L914&gt;0,O914&gt;0),(O914-L914)/L914,"")</f>
        <v>0.043147729607561164</v>
      </c>
      <c r="Q914" s="18">
        <v>15</v>
      </c>
      <c r="R914" s="18">
        <v>30</v>
      </c>
      <c r="S914" s="18">
        <f>IF(N914&gt;0,TODAY()-N914,"")</f>
        <v>5</v>
      </c>
    </row>
    <row r="915" ht="17" customHeight="1" spans="1:19" x14ac:dyDescent="0.25">
      <c r="A915" s="3" t="s">
        <v>20</v>
      </c>
      <c r="B915" s="3" t="s">
        <v>1791</v>
      </c>
      <c r="C915" s="3" t="s">
        <v>1850</v>
      </c>
      <c r="D915" s="3" t="s">
        <v>1851</v>
      </c>
      <c r="E915" s="4">
        <v>40.17</v>
      </c>
      <c r="F915" s="5">
        <v>199.57630072193177</v>
      </c>
      <c r="G915" s="6">
        <v>45946</v>
      </c>
      <c r="H915" s="5">
        <v>188.08</v>
      </c>
      <c r="I915" s="7" t="s">
        <v>57</v>
      </c>
      <c r="J915" s="5">
        <v>188.08</v>
      </c>
      <c r="K915" s="24">
        <f>IF(AND(H915&gt;0,J915&gt;0),(J915-H915)/H915,"")</f>
        <v>0</v>
      </c>
      <c r="L915" s="5">
        <v>193.29</v>
      </c>
      <c r="M915" s="24">
        <f>IF(AND(J915&gt;0,L915&gt;0),(L915-J915)/J915,IF(AND(H915&gt;0,L915&gt;0),(L915-H915)/H915,""))</f>
        <v>0.027700978307103254</v>
      </c>
      <c r="N915" s="6">
        <v>46083</v>
      </c>
      <c r="O915" s="5">
        <v>204.9</v>
      </c>
      <c r="P915" s="24">
        <f>IF(AND(L915&gt;0,O915&gt;0),(O915-L915)/L915,"")</f>
        <v>0.06006518702467802</v>
      </c>
      <c r="Q915" s="9">
        <v>34</v>
      </c>
      <c r="R915" s="9">
        <v>5</v>
      </c>
      <c r="S915" s="9">
        <f>IF(N915&gt;0,TODAY()-N915,"")</f>
        <v>28</v>
      </c>
    </row>
    <row r="916" ht="17" customHeight="1" spans="1:19" x14ac:dyDescent="0.25">
      <c r="A916" s="11" t="s">
        <v>20</v>
      </c>
      <c r="B916" s="11" t="s">
        <v>1791</v>
      </c>
      <c r="C916" s="11" t="s">
        <v>1852</v>
      </c>
      <c r="D916" s="11" t="s">
        <v>1853</v>
      </c>
      <c r="E916" s="12">
        <v>774.8</v>
      </c>
      <c r="F916" s="13">
        <v>178.68281350340607</v>
      </c>
      <c r="G916" s="14">
        <v>45681</v>
      </c>
      <c r="H916" s="13">
        <v>139.63</v>
      </c>
      <c r="I916" s="15" t="s">
        <v>57</v>
      </c>
      <c r="J916" s="13">
        <v>188.15</v>
      </c>
      <c r="K916" s="23">
        <f>IF(AND(H916&gt;0,J916&gt;0),(J916-H916)/H916,"")</f>
        <v>0.3474897944567787</v>
      </c>
      <c r="L916" s="13">
        <v>195</v>
      </c>
      <c r="M916" s="17">
        <f>IF(AND(J916&gt;0,L916&gt;0),(L916-J916)/J916,IF(AND(H916&gt;0,L916&gt;0),(L916-H916)/H916,""))</f>
        <v>0.036407121977145865</v>
      </c>
      <c r="N916" s="14">
        <v>46087</v>
      </c>
      <c r="O916" s="13">
        <v>209.54</v>
      </c>
      <c r="P916" s="17">
        <f>IF(AND(L916&gt;0,O916&gt;0),(O916-L916)/L916,"")</f>
        <v>0.07456410256410252</v>
      </c>
      <c r="Q916" s="18">
        <v>21</v>
      </c>
      <c r="R916" s="18">
        <v>20</v>
      </c>
      <c r="S916" s="18">
        <f>IF(N916&gt;0,TODAY()-N916,"")</f>
        <v>24</v>
      </c>
    </row>
    <row r="917" ht="17" customHeight="1" spans="1:19" x14ac:dyDescent="0.25">
      <c r="A917" s="3" t="s">
        <v>20</v>
      </c>
      <c r="B917" s="3" t="s">
        <v>1791</v>
      </c>
      <c r="C917" s="3" t="s">
        <v>1854</v>
      </c>
      <c r="D917" s="3" t="s">
        <v>1855</v>
      </c>
      <c r="E917" s="4">
        <v>19.759999999999998</v>
      </c>
      <c r="F917" s="5">
        <v>189.15789473684214</v>
      </c>
      <c r="G917" s="6">
        <v>45856</v>
      </c>
      <c r="H917" s="5">
        <v>181.1</v>
      </c>
      <c r="I917" s="7" t="s">
        <v>24</v>
      </c>
      <c r="J917" s="5"/>
      <c r="K917" s="8" t="str">
        <f>IF(AND(H917&gt;0,J917&gt;0),(J917-H917)/H917,"")</f>
        <v/>
      </c>
      <c r="L917" s="5"/>
      <c r="M917" s="8" t="str">
        <f>IF(AND(J917&gt;0,L917&gt;0),(L917-J917)/J917,IF(AND(H917&gt;0,L917&gt;0),(L917-H917)/H917,""))</f>
        <v/>
      </c>
      <c r="N917" s="6">
        <v>46087</v>
      </c>
      <c r="O917" s="5">
        <v>202.09</v>
      </c>
      <c r="P917" s="22">
        <f>IF(AND(L917&gt;0,O917&gt;0),(O917-L917)/L917,"")</f>
        <v>0.11590281612368862</v>
      </c>
      <c r="Q917" s="9">
        <v>116</v>
      </c>
      <c r="R917" s="9">
        <v>3</v>
      </c>
      <c r="S917" s="9">
        <f>IF(N917&gt;0,TODAY()-N917,"")</f>
        <v>24</v>
      </c>
    </row>
    <row r="918" ht="17" customHeight="1" spans="1:19" x14ac:dyDescent="0.25">
      <c r="A918" s="11" t="s">
        <v>20</v>
      </c>
      <c r="B918" s="11" t="s">
        <v>1791</v>
      </c>
      <c r="C918" s="11" t="s">
        <v>1856</v>
      </c>
      <c r="D918" s="11" t="s">
        <v>1857</v>
      </c>
      <c r="E918" s="12">
        <v>67.405</v>
      </c>
      <c r="F918" s="13">
        <v>259.61041465766635</v>
      </c>
      <c r="G918" s="14">
        <v>45687</v>
      </c>
      <c r="H918" s="13">
        <v>242.5</v>
      </c>
      <c r="I918" s="15" t="s">
        <v>24</v>
      </c>
      <c r="J918" s="13"/>
      <c r="K918" s="16" t="str">
        <f>IF(AND(H918&gt;0,J918&gt;0),(J918-H918)/H918,"")</f>
        <v/>
      </c>
      <c r="L918" s="13"/>
      <c r="M918" s="16" t="str">
        <f>IF(AND(J918&gt;0,L918&gt;0),(L918-J918)/J918,IF(AND(H918&gt;0,L918&gt;0),(L918-H918)/H918,""))</f>
        <v/>
      </c>
      <c r="N918" s="14">
        <v>46087</v>
      </c>
      <c r="O918" s="13">
        <v>300.68</v>
      </c>
      <c r="P918" s="20">
        <f>IF(AND(L918&gt;0,O918&gt;0),(O918-L918)/L918,"")</f>
        <v>0.23991752577319592</v>
      </c>
      <c r="Q918" s="18">
        <v>400</v>
      </c>
      <c r="R918" s="18">
        <v>2</v>
      </c>
      <c r="S918" s="18">
        <f>IF(N918&gt;0,TODAY()-N918,"")</f>
        <v>24</v>
      </c>
    </row>
    <row r="919" ht="17" customHeight="1" spans="1:19" x14ac:dyDescent="0.25">
      <c r="A919" s="3" t="s">
        <v>20</v>
      </c>
      <c r="B919" s="3" t="s">
        <v>1791</v>
      </c>
      <c r="C919" s="3" t="s">
        <v>1858</v>
      </c>
      <c r="D919" s="3" t="s">
        <v>1859</v>
      </c>
      <c r="E919" s="4">
        <v>2525.9</v>
      </c>
      <c r="F919" s="5">
        <v>173.2257650738351</v>
      </c>
      <c r="G919" s="6">
        <v>45671</v>
      </c>
      <c r="H919" s="5">
        <v>136.92</v>
      </c>
      <c r="I919" s="7" t="s">
        <v>54</v>
      </c>
      <c r="J919" s="5">
        <v>189.62</v>
      </c>
      <c r="K919" s="23">
        <f>IF(AND(H919&gt;0,J919&gt;0),(J919-H919)/H919,"")</f>
        <v>0.38489628980426543</v>
      </c>
      <c r="L919" s="5">
        <v>193.27</v>
      </c>
      <c r="M919" s="24">
        <f>IF(AND(J919&gt;0,L919&gt;0),(L919-J919)/J919,IF(AND(H919&gt;0,L919&gt;0),(L919-H919)/H919,""))</f>
        <v>0.01924902436451854</v>
      </c>
      <c r="N919" s="6">
        <v>46106</v>
      </c>
      <c r="O919" s="5">
        <v>203.09</v>
      </c>
      <c r="P919" s="24">
        <f>IF(AND(L919&gt;0,O919&gt;0),(O919-L919)/L919,"")</f>
        <v>0.050809748020903364</v>
      </c>
      <c r="Q919" s="9">
        <v>14</v>
      </c>
      <c r="R919" s="9">
        <v>33</v>
      </c>
      <c r="S919" s="9">
        <f>IF(N919&gt;0,TODAY()-N919,"")</f>
        <v>5</v>
      </c>
    </row>
    <row r="920" ht="17" customHeight="1" spans="1:19" x14ac:dyDescent="0.25">
      <c r="A920" s="11" t="s">
        <v>20</v>
      </c>
      <c r="B920" s="11" t="s">
        <v>1791</v>
      </c>
      <c r="C920" s="11" t="s">
        <v>1860</v>
      </c>
      <c r="D920" s="11" t="s">
        <v>1861</v>
      </c>
      <c r="E920" s="12">
        <v>173.67999999999998</v>
      </c>
      <c r="F920" s="13">
        <v>188.95693228926768</v>
      </c>
      <c r="G920" s="14">
        <v>45750</v>
      </c>
      <c r="H920" s="13">
        <v>161.25</v>
      </c>
      <c r="I920" s="15" t="s">
        <v>60</v>
      </c>
      <c r="J920" s="13">
        <v>189.27</v>
      </c>
      <c r="K920" s="20">
        <f>IF(AND(H920&gt;0,J920&gt;0),(J920-H920)/H920,"")</f>
        <v>0.17376744186046517</v>
      </c>
      <c r="L920" s="13"/>
      <c r="M920" s="16" t="str">
        <f>IF(AND(J920&gt;0,L920&gt;0),(L920-J920)/J920,IF(AND(H920&gt;0,L920&gt;0),(L920-H920)/H920,""))</f>
        <v/>
      </c>
      <c r="N920" s="14">
        <v>46098</v>
      </c>
      <c r="O920" s="13">
        <v>200.15</v>
      </c>
      <c r="P920" s="17">
        <f>IF(AND(L920&gt;0,O920&gt;0),(O920-L920)/L920,"")</f>
        <v>0.05748401754107886</v>
      </c>
      <c r="Q920" s="18">
        <v>50</v>
      </c>
      <c r="R920" s="18">
        <v>8</v>
      </c>
      <c r="S920" s="18">
        <f>IF(N920&gt;0,TODAY()-N920,"")</f>
        <v>13</v>
      </c>
    </row>
    <row r="921" ht="17" customHeight="1" spans="1:19" x14ac:dyDescent="0.25">
      <c r="A921" s="3" t="s">
        <v>20</v>
      </c>
      <c r="B921" s="3" t="s">
        <v>1791</v>
      </c>
      <c r="C921" s="3" t="s">
        <v>1862</v>
      </c>
      <c r="D921" s="3" t="s">
        <v>1863</v>
      </c>
      <c r="E921" s="4">
        <v>3</v>
      </c>
      <c r="F921" s="5">
        <v>1912.7766666666666</v>
      </c>
      <c r="G921" s="6">
        <v>45849</v>
      </c>
      <c r="H921" s="5">
        <v>1912.78</v>
      </c>
      <c r="I921" s="7" t="s">
        <v>24</v>
      </c>
      <c r="J921" s="5"/>
      <c r="K921" s="8" t="str">
        <f>IF(AND(H921&gt;0,J921&gt;0),(J921-H921)/H921,"")</f>
        <v/>
      </c>
      <c r="L921" s="5"/>
      <c r="M921" s="8" t="str">
        <f>IF(AND(J921&gt;0,L921&gt;0),(L921-J921)/J921,IF(AND(H921&gt;0,L921&gt;0),(L921-H921)/H921,""))</f>
        <v/>
      </c>
      <c r="N921" s="6">
        <v>45849</v>
      </c>
      <c r="O921" s="5">
        <v>1912.78</v>
      </c>
      <c r="P921" s="8" t="str">
        <f>IF(AND(L921&gt;0,O921&gt;0),(O921-L921)/L921,"")</f>
        <v/>
      </c>
      <c r="Q921" s="9"/>
      <c r="R921" s="9">
        <v>1</v>
      </c>
      <c r="S921" s="10">
        <f>IF(N921&gt;0,TODAY()-N921,"")</f>
        <v>262</v>
      </c>
    </row>
    <row r="922" ht="17" customHeight="1" spans="1:19" x14ac:dyDescent="0.25">
      <c r="A922" s="11" t="s">
        <v>20</v>
      </c>
      <c r="B922" s="11" t="s">
        <v>1791</v>
      </c>
      <c r="C922" s="11" t="s">
        <v>1864</v>
      </c>
      <c r="D922" s="11" t="s">
        <v>1865</v>
      </c>
      <c r="E922" s="12">
        <v>60.3</v>
      </c>
      <c r="F922" s="13">
        <v>611.5292703150911</v>
      </c>
      <c r="G922" s="14">
        <v>45846</v>
      </c>
      <c r="H922" s="13">
        <v>596.55</v>
      </c>
      <c r="I922" s="15" t="s">
        <v>24</v>
      </c>
      <c r="J922" s="13"/>
      <c r="K922" s="16" t="str">
        <f>IF(AND(H922&gt;0,J922&gt;0),(J922-H922)/H922,"")</f>
        <v/>
      </c>
      <c r="L922" s="13"/>
      <c r="M922" s="16" t="str">
        <f>IF(AND(J922&gt;0,L922&gt;0),(L922-J922)/J922,IF(AND(H922&gt;0,L922&gt;0),(L922-H922)/H922,""))</f>
        <v/>
      </c>
      <c r="N922" s="14">
        <v>45909</v>
      </c>
      <c r="O922" s="13">
        <v>614.62</v>
      </c>
      <c r="P922" s="16" t="str">
        <f>IF(AND(L922&gt;0,O922&gt;0),(O922-L922)/L922,"")</f>
        <v/>
      </c>
      <c r="Q922" s="18">
        <v>63</v>
      </c>
      <c r="R922" s="18">
        <v>2</v>
      </c>
      <c r="S922" s="10">
        <f>IF(N922&gt;0,TODAY()-N922,"")</f>
        <v>202</v>
      </c>
    </row>
    <row r="923" ht="17" customHeight="1" spans="1:19" x14ac:dyDescent="0.25">
      <c r="A923" s="3" t="s">
        <v>20</v>
      </c>
      <c r="B923" s="3" t="s">
        <v>1791</v>
      </c>
      <c r="C923" s="3" t="s">
        <v>1866</v>
      </c>
      <c r="D923" s="3" t="s">
        <v>1867</v>
      </c>
      <c r="E923" s="4">
        <v>50</v>
      </c>
      <c r="F923" s="5">
        <v>587.8812</v>
      </c>
      <c r="G923" s="6">
        <v>46062</v>
      </c>
      <c r="H923" s="5">
        <v>587.88</v>
      </c>
      <c r="I923" s="7" t="s">
        <v>24</v>
      </c>
      <c r="J923" s="5"/>
      <c r="K923" s="8" t="str">
        <f>IF(AND(H923&gt;0,J923&gt;0),(J923-H923)/H923,"")</f>
        <v/>
      </c>
      <c r="L923" s="5"/>
      <c r="M923" s="8" t="str">
        <f>IF(AND(J923&gt;0,L923&gt;0),(L923-J923)/J923,IF(AND(H923&gt;0,L923&gt;0),(L923-H923)/H923,""))</f>
        <v/>
      </c>
      <c r="N923" s="6">
        <v>46062</v>
      </c>
      <c r="O923" s="5">
        <v>587.88</v>
      </c>
      <c r="P923" s="24">
        <f>IF(AND(L923&gt;0,O923&gt;0),(O923-L923)/L923,"")</f>
        <v>0</v>
      </c>
      <c r="Q923" s="9"/>
      <c r="R923" s="9">
        <v>1</v>
      </c>
      <c r="S923" s="9">
        <f>IF(N923&gt;0,TODAY()-N923,"")</f>
        <v>49</v>
      </c>
    </row>
    <row r="924" ht="17" customHeight="1" spans="1:19" x14ac:dyDescent="0.25">
      <c r="A924" s="11" t="s">
        <v>20</v>
      </c>
      <c r="B924" s="11" t="s">
        <v>1791</v>
      </c>
      <c r="C924" s="11" t="s">
        <v>1868</v>
      </c>
      <c r="D924" s="11" t="s">
        <v>1869</v>
      </c>
      <c r="E924" s="12">
        <v>12</v>
      </c>
      <c r="F924" s="13">
        <v>375</v>
      </c>
      <c r="G924" s="14">
        <v>45692</v>
      </c>
      <c r="H924" s="13">
        <v>375</v>
      </c>
      <c r="I924" s="15" t="s">
        <v>24</v>
      </c>
      <c r="J924" s="13"/>
      <c r="K924" s="16" t="str">
        <f>IF(AND(H924&gt;0,J924&gt;0),(J924-H924)/H924,"")</f>
        <v/>
      </c>
      <c r="L924" s="13"/>
      <c r="M924" s="16" t="str">
        <f>IF(AND(J924&gt;0,L924&gt;0),(L924-J924)/J924,IF(AND(H924&gt;0,L924&gt;0),(L924-H924)/H924,""))</f>
        <v/>
      </c>
      <c r="N924" s="14">
        <v>45692</v>
      </c>
      <c r="O924" s="13">
        <v>375</v>
      </c>
      <c r="P924" s="16" t="str">
        <f>IF(AND(L924&gt;0,O924&gt;0),(O924-L924)/L924,"")</f>
        <v/>
      </c>
      <c r="Q924" s="18"/>
      <c r="R924" s="18">
        <v>1</v>
      </c>
      <c r="S924" s="10">
        <f>IF(N924&gt;0,TODAY()-N924,"")</f>
        <v>419</v>
      </c>
    </row>
    <row r="925" ht="17" customHeight="1" spans="1:19" x14ac:dyDescent="0.25">
      <c r="A925" s="3" t="s">
        <v>20</v>
      </c>
      <c r="B925" s="3" t="s">
        <v>1791</v>
      </c>
      <c r="C925" s="3" t="s">
        <v>1870</v>
      </c>
      <c r="D925" s="3" t="s">
        <v>1871</v>
      </c>
      <c r="E925" s="4">
        <v>264.8</v>
      </c>
      <c r="F925" s="5">
        <v>511.50422960725075</v>
      </c>
      <c r="G925" s="6">
        <v>45799</v>
      </c>
      <c r="H925" s="5">
        <v>484.64</v>
      </c>
      <c r="I925" s="7" t="s">
        <v>57</v>
      </c>
      <c r="J925" s="5">
        <v>546.6</v>
      </c>
      <c r="K925" s="22">
        <f>IF(AND(H925&gt;0,J925&gt;0),(J925-H925)/H925,"")</f>
        <v>0.1278474744139981</v>
      </c>
      <c r="L925" s="5"/>
      <c r="M925" s="8" t="str">
        <f>IF(AND(J925&gt;0,L925&gt;0),(L925-J925)/J925,IF(AND(H925&gt;0,L925&gt;0),(L925-H925)/H925,""))</f>
        <v/>
      </c>
      <c r="N925" s="6">
        <v>45931</v>
      </c>
      <c r="O925" s="5">
        <v>546.6</v>
      </c>
      <c r="P925" s="8" t="str">
        <f>IF(AND(L925&gt;0,O925&gt;0),(O925-L925)/L925,"")</f>
        <v/>
      </c>
      <c r="Q925" s="9">
        <v>132</v>
      </c>
      <c r="R925" s="9">
        <v>2</v>
      </c>
      <c r="S925" s="21">
        <f>IF(N925&gt;0,TODAY()-N925,"")</f>
        <v>180</v>
      </c>
    </row>
    <row r="926" ht="17" customHeight="1" spans="1:19" x14ac:dyDescent="0.25">
      <c r="A926" s="11" t="s">
        <v>20</v>
      </c>
      <c r="B926" s="11" t="s">
        <v>1791</v>
      </c>
      <c r="C926" s="11" t="s">
        <v>1872</v>
      </c>
      <c r="D926" s="11" t="s">
        <v>1873</v>
      </c>
      <c r="E926" s="12">
        <v>31</v>
      </c>
      <c r="F926" s="13">
        <v>359.58</v>
      </c>
      <c r="G926" s="14">
        <v>46016</v>
      </c>
      <c r="H926" s="13">
        <v>359.58</v>
      </c>
      <c r="I926" s="15" t="s">
        <v>54</v>
      </c>
      <c r="J926" s="13">
        <v>359.58</v>
      </c>
      <c r="K926" s="17">
        <f>IF(AND(H926&gt;0,J926&gt;0),(J926-H926)/H926,"")</f>
        <v>0</v>
      </c>
      <c r="L926" s="13"/>
      <c r="M926" s="16" t="str">
        <f>IF(AND(J926&gt;0,L926&gt;0),(L926-J926)/J926,IF(AND(H926&gt;0,L926&gt;0),(L926-H926)/H926,""))</f>
        <v/>
      </c>
      <c r="N926" s="14">
        <v>46016</v>
      </c>
      <c r="O926" s="13">
        <v>359.58</v>
      </c>
      <c r="P926" s="16" t="str">
        <f>IF(AND(L926&gt;0,O926&gt;0),(O926-L926)/L926,"")</f>
        <v/>
      </c>
      <c r="Q926" s="18"/>
      <c r="R926" s="18">
        <v>1</v>
      </c>
      <c r="S926" s="21">
        <f>IF(N926&gt;0,TODAY()-N926,"")</f>
        <v>95</v>
      </c>
    </row>
    <row r="927" ht="17" customHeight="1" spans="1:19" x14ac:dyDescent="0.25">
      <c r="A927" s="3" t="s">
        <v>20</v>
      </c>
      <c r="B927" s="3" t="s">
        <v>1791</v>
      </c>
      <c r="C927" s="3" t="s">
        <v>1874</v>
      </c>
      <c r="D927" s="3" t="s">
        <v>1875</v>
      </c>
      <c r="E927" s="4">
        <v>1020</v>
      </c>
      <c r="F927" s="5">
        <v>183.09401568627453</v>
      </c>
      <c r="G927" s="6">
        <v>45677</v>
      </c>
      <c r="H927" s="5">
        <v>149.25</v>
      </c>
      <c r="I927" s="7" t="s">
        <v>24</v>
      </c>
      <c r="J927" s="5"/>
      <c r="K927" s="8" t="str">
        <f>IF(AND(H927&gt;0,J927&gt;0),(J927-H927)/H927,"")</f>
        <v/>
      </c>
      <c r="L927" s="5">
        <v>211.93</v>
      </c>
      <c r="M927" s="23">
        <f>IF(AND(J927&gt;0,L927&gt;0),(L927-J927)/J927,IF(AND(H927&gt;0,L927&gt;0),(L927-H927)/H927,""))</f>
        <v>0.41996649916247913</v>
      </c>
      <c r="N927" s="6">
        <v>46063</v>
      </c>
      <c r="O927" s="5">
        <v>224.24</v>
      </c>
      <c r="P927" s="24">
        <f>IF(AND(L927&gt;0,O927&gt;0),(O927-L927)/L927,"")</f>
        <v>0.0580852168168735</v>
      </c>
      <c r="Q927" s="9">
        <v>48</v>
      </c>
      <c r="R927" s="9">
        <v>9</v>
      </c>
      <c r="S927" s="9">
        <f>IF(N927&gt;0,TODAY()-N927,"")</f>
        <v>48</v>
      </c>
    </row>
    <row r="928" ht="17" customHeight="1" spans="1:19" x14ac:dyDescent="0.25">
      <c r="A928" s="11" t="s">
        <v>20</v>
      </c>
      <c r="B928" s="11" t="s">
        <v>1791</v>
      </c>
      <c r="C928" s="11" t="s">
        <v>1876</v>
      </c>
      <c r="D928" s="11" t="s">
        <v>1877</v>
      </c>
      <c r="E928" s="12">
        <v>150</v>
      </c>
      <c r="F928" s="13">
        <v>152.06</v>
      </c>
      <c r="G928" s="14">
        <v>45713</v>
      </c>
      <c r="H928" s="13">
        <v>152.06</v>
      </c>
      <c r="I928" s="15" t="s">
        <v>24</v>
      </c>
      <c r="J928" s="13"/>
      <c r="K928" s="16" t="str">
        <f>IF(AND(H928&gt;0,J928&gt;0),(J928-H928)/H928,"")</f>
        <v/>
      </c>
      <c r="L928" s="13"/>
      <c r="M928" s="16" t="str">
        <f>IF(AND(J928&gt;0,L928&gt;0),(L928-J928)/J928,IF(AND(H928&gt;0,L928&gt;0),(L928-H928)/H928,""))</f>
        <v/>
      </c>
      <c r="N928" s="14">
        <v>45713</v>
      </c>
      <c r="O928" s="13">
        <v>152.06</v>
      </c>
      <c r="P928" s="16" t="str">
        <f>IF(AND(L928&gt;0,O928&gt;0),(O928-L928)/L928,"")</f>
        <v/>
      </c>
      <c r="Q928" s="18"/>
      <c r="R928" s="18">
        <v>1</v>
      </c>
      <c r="S928" s="10">
        <f>IF(N928&gt;0,TODAY()-N928,"")</f>
        <v>398</v>
      </c>
    </row>
    <row r="929" ht="17" customHeight="1" spans="1:19" x14ac:dyDescent="0.25">
      <c r="A929" s="3" t="s">
        <v>20</v>
      </c>
      <c r="B929" s="3" t="s">
        <v>1791</v>
      </c>
      <c r="C929" s="3" t="s">
        <v>1878</v>
      </c>
      <c r="D929" s="3" t="s">
        <v>1879</v>
      </c>
      <c r="E929" s="4">
        <v>450</v>
      </c>
      <c r="F929" s="5">
        <v>6.143577777777778</v>
      </c>
      <c r="G929" s="6">
        <v>45756</v>
      </c>
      <c r="H929" s="5">
        <v>6.14</v>
      </c>
      <c r="I929" s="7" t="s">
        <v>24</v>
      </c>
      <c r="J929" s="5"/>
      <c r="K929" s="8" t="str">
        <f>IF(AND(H929&gt;0,J929&gt;0),(J929-H929)/H929,"")</f>
        <v/>
      </c>
      <c r="L929" s="5"/>
      <c r="M929" s="8" t="str">
        <f>IF(AND(J929&gt;0,L929&gt;0),(L929-J929)/J929,IF(AND(H929&gt;0,L929&gt;0),(L929-H929)/H929,""))</f>
        <v/>
      </c>
      <c r="N929" s="6">
        <v>45756</v>
      </c>
      <c r="O929" s="5">
        <v>6.14</v>
      </c>
      <c r="P929" s="8" t="str">
        <f>IF(AND(L929&gt;0,O929&gt;0),(O929-L929)/L929,"")</f>
        <v/>
      </c>
      <c r="Q929" s="9"/>
      <c r="R929" s="9">
        <v>1</v>
      </c>
      <c r="S929" s="10">
        <f>IF(N929&gt;0,TODAY()-N929,"")</f>
        <v>355</v>
      </c>
    </row>
    <row r="930" ht="17" customHeight="1" spans="1:19" x14ac:dyDescent="0.25">
      <c r="A930" s="11" t="s">
        <v>20</v>
      </c>
      <c r="B930" s="11" t="s">
        <v>1791</v>
      </c>
      <c r="C930" s="11" t="s">
        <v>1880</v>
      </c>
      <c r="D930" s="11" t="s">
        <v>1881</v>
      </c>
      <c r="E930" s="12">
        <v>690</v>
      </c>
      <c r="F930" s="13">
        <v>6.235492753623188</v>
      </c>
      <c r="G930" s="14">
        <v>45756</v>
      </c>
      <c r="H930" s="13">
        <v>5.52</v>
      </c>
      <c r="I930" s="15" t="s">
        <v>24</v>
      </c>
      <c r="J930" s="13"/>
      <c r="K930" s="16" t="str">
        <f>IF(AND(H930&gt;0,J930&gt;0),(J930-H930)/H930,"")</f>
        <v/>
      </c>
      <c r="L930" s="13"/>
      <c r="M930" s="16" t="str">
        <f>IF(AND(J930&gt;0,L930&gt;0),(L930-J930)/J930,IF(AND(H930&gt;0,L930&gt;0),(L930-H930)/H930,""))</f>
        <v/>
      </c>
      <c r="N930" s="14">
        <v>45926</v>
      </c>
      <c r="O930" s="13">
        <v>7.58</v>
      </c>
      <c r="P930" s="16" t="str">
        <f>IF(AND(L930&gt;0,O930&gt;0),(O930-L930)/L930,"")</f>
        <v/>
      </c>
      <c r="Q930" s="18">
        <v>170</v>
      </c>
      <c r="R930" s="18">
        <v>2</v>
      </c>
      <c r="S930" s="10">
        <f>IF(N930&gt;0,TODAY()-N930,"")</f>
        <v>185</v>
      </c>
    </row>
    <row r="931" ht="17" customHeight="1" spans="1:19" x14ac:dyDescent="0.25">
      <c r="A931" s="3" t="s">
        <v>20</v>
      </c>
      <c r="B931" s="3" t="s">
        <v>1791</v>
      </c>
      <c r="C931" s="3" t="s">
        <v>1882</v>
      </c>
      <c r="D931" s="3" t="s">
        <v>1883</v>
      </c>
      <c r="E931" s="4">
        <v>300</v>
      </c>
      <c r="F931" s="5">
        <v>9.505</v>
      </c>
      <c r="G931" s="6">
        <v>46002</v>
      </c>
      <c r="H931" s="5">
        <v>10.06</v>
      </c>
      <c r="I931" s="7" t="s">
        <v>54</v>
      </c>
      <c r="J931" s="5">
        <v>10.06</v>
      </c>
      <c r="K931" s="24">
        <f>IF(AND(H931&gt;0,J931&gt;0),(J931-H931)/H931,"")</f>
        <v>0</v>
      </c>
      <c r="L931" s="5">
        <v>8.95</v>
      </c>
      <c r="M931" s="26">
        <f>IF(AND(J931&gt;0,L931&gt;0),(L931-J931)/J931,IF(AND(H931&gt;0,L931&gt;0),(L931-H931)/H931,""))</f>
        <v>-0.11033797216699813</v>
      </c>
      <c r="N931" s="6">
        <v>46034</v>
      </c>
      <c r="O931" s="5">
        <v>8.95</v>
      </c>
      <c r="P931" s="8" t="str">
        <f>IF(AND(L931&gt;0,O931&gt;0),(O931-L931)/L931,"")</f>
        <v/>
      </c>
      <c r="Q931" s="9">
        <v>32</v>
      </c>
      <c r="R931" s="9">
        <v>2</v>
      </c>
      <c r="S931" s="19">
        <f>IF(N931&gt;0,TODAY()-N931,"")</f>
        <v>77</v>
      </c>
    </row>
    <row r="932" ht="17" customHeight="1" spans="1:19" x14ac:dyDescent="0.25">
      <c r="A932" s="11" t="s">
        <v>20</v>
      </c>
      <c r="B932" s="11" t="s">
        <v>1791</v>
      </c>
      <c r="C932" s="11" t="s">
        <v>1884</v>
      </c>
      <c r="D932" s="11" t="s">
        <v>1885</v>
      </c>
      <c r="E932" s="12">
        <v>1050</v>
      </c>
      <c r="F932" s="13">
        <v>6.4539333333333335</v>
      </c>
      <c r="G932" s="14">
        <v>45687</v>
      </c>
      <c r="H932" s="13">
        <v>5.48</v>
      </c>
      <c r="I932" s="15" t="s">
        <v>57</v>
      </c>
      <c r="J932" s="13">
        <v>7.89</v>
      </c>
      <c r="K932" s="23">
        <f>IF(AND(H932&gt;0,J932&gt;0),(J932-H932)/H932,"")</f>
        <v>0.43978102189781004</v>
      </c>
      <c r="L932" s="13"/>
      <c r="M932" s="16" t="str">
        <f>IF(AND(J932&gt;0,L932&gt;0),(L932-J932)/J932,IF(AND(H932&gt;0,L932&gt;0),(L932-H932)/H932,""))</f>
        <v/>
      </c>
      <c r="N932" s="14">
        <v>45951</v>
      </c>
      <c r="O932" s="13">
        <v>7.89</v>
      </c>
      <c r="P932" s="16" t="str">
        <f>IF(AND(L932&gt;0,O932&gt;0),(O932-L932)/L932,"")</f>
        <v/>
      </c>
      <c r="Q932" s="18">
        <v>132</v>
      </c>
      <c r="R932" s="18">
        <v>3</v>
      </c>
      <c r="S932" s="21">
        <f>IF(N932&gt;0,TODAY()-N932,"")</f>
        <v>160</v>
      </c>
    </row>
    <row r="933" ht="17" customHeight="1" spans="1:19" x14ac:dyDescent="0.25">
      <c r="A933" s="3" t="s">
        <v>20</v>
      </c>
      <c r="B933" s="3" t="s">
        <v>1791</v>
      </c>
      <c r="C933" s="3" t="s">
        <v>1886</v>
      </c>
      <c r="D933" s="3" t="s">
        <v>1887</v>
      </c>
      <c r="E933" s="4">
        <v>300</v>
      </c>
      <c r="F933" s="5">
        <v>12.340166666666667</v>
      </c>
      <c r="G933" s="6">
        <v>45687</v>
      </c>
      <c r="H933" s="5">
        <v>12.34</v>
      </c>
      <c r="I933" s="7" t="s">
        <v>24</v>
      </c>
      <c r="J933" s="5"/>
      <c r="K933" s="8" t="str">
        <f>IF(AND(H933&gt;0,J933&gt;0),(J933-H933)/H933,"")</f>
        <v/>
      </c>
      <c r="L933" s="5"/>
      <c r="M933" s="8" t="str">
        <f>IF(AND(J933&gt;0,L933&gt;0),(L933-J933)/J933,IF(AND(H933&gt;0,L933&gt;0),(L933-H933)/H933,""))</f>
        <v/>
      </c>
      <c r="N933" s="6">
        <v>45687</v>
      </c>
      <c r="O933" s="5">
        <v>12.34</v>
      </c>
      <c r="P933" s="8" t="str">
        <f>IF(AND(L933&gt;0,O933&gt;0),(O933-L933)/L933,"")</f>
        <v/>
      </c>
      <c r="Q933" s="9"/>
      <c r="R933" s="9">
        <v>1</v>
      </c>
      <c r="S933" s="10">
        <f>IF(N933&gt;0,TODAY()-N933,"")</f>
        <v>424</v>
      </c>
    </row>
    <row r="934" ht="17" customHeight="1" spans="1:19" x14ac:dyDescent="0.25">
      <c r="A934" s="11" t="s">
        <v>20</v>
      </c>
      <c r="B934" s="11" t="s">
        <v>1791</v>
      </c>
      <c r="C934" s="11" t="s">
        <v>1888</v>
      </c>
      <c r="D934" s="11" t="s">
        <v>1889</v>
      </c>
      <c r="E934" s="12">
        <v>1920</v>
      </c>
      <c r="F934" s="13">
        <v>6.146109374999999</v>
      </c>
      <c r="G934" s="14">
        <v>45945</v>
      </c>
      <c r="H934" s="13">
        <v>5.56</v>
      </c>
      <c r="I934" s="15" t="s">
        <v>57</v>
      </c>
      <c r="J934" s="13">
        <v>5.56</v>
      </c>
      <c r="K934" s="17">
        <f>IF(AND(H934&gt;0,J934&gt;0),(J934-H934)/H934,"")</f>
        <v>0</v>
      </c>
      <c r="L934" s="13">
        <v>6.48</v>
      </c>
      <c r="M934" s="20">
        <f>IF(AND(J934&gt;0,L934&gt;0),(L934-J934)/J934,IF(AND(H934&gt;0,L934&gt;0),(L934-H934)/H934,""))</f>
        <v>0.16546762589928077</v>
      </c>
      <c r="N934" s="14">
        <v>46052</v>
      </c>
      <c r="O934" s="13">
        <v>6.48</v>
      </c>
      <c r="P934" s="16" t="str">
        <f>IF(AND(L934&gt;0,O934&gt;0),(O934-L934)/L934,"")</f>
        <v/>
      </c>
      <c r="Q934" s="18">
        <v>54</v>
      </c>
      <c r="R934" s="18">
        <v>3</v>
      </c>
      <c r="S934" s="18">
        <f>IF(N934&gt;0,TODAY()-N934,"")</f>
        <v>59</v>
      </c>
    </row>
    <row r="935" ht="17" customHeight="1" spans="1:19" x14ac:dyDescent="0.25">
      <c r="A935" s="3" t="s">
        <v>20</v>
      </c>
      <c r="B935" s="3" t="s">
        <v>1791</v>
      </c>
      <c r="C935" s="3" t="s">
        <v>1890</v>
      </c>
      <c r="D935" s="3" t="s">
        <v>1891</v>
      </c>
      <c r="E935" s="4">
        <v>150</v>
      </c>
      <c r="F935" s="5">
        <v>15.222266666666668</v>
      </c>
      <c r="G935" s="6">
        <v>46087</v>
      </c>
      <c r="H935" s="5">
        <v>15.22</v>
      </c>
      <c r="I935" s="7" t="s">
        <v>24</v>
      </c>
      <c r="J935" s="5"/>
      <c r="K935" s="8" t="str">
        <f>IF(AND(H935&gt;0,J935&gt;0),(J935-H935)/H935,"")</f>
        <v/>
      </c>
      <c r="L935" s="5"/>
      <c r="M935" s="8" t="str">
        <f>IF(AND(J935&gt;0,L935&gt;0),(L935-J935)/J935,IF(AND(H935&gt;0,L935&gt;0),(L935-H935)/H935,""))</f>
        <v/>
      </c>
      <c r="N935" s="6">
        <v>46087</v>
      </c>
      <c r="O935" s="5">
        <v>15.22</v>
      </c>
      <c r="P935" s="24">
        <f>IF(AND(L935&gt;0,O935&gt;0),(O935-L935)/L935,"")</f>
        <v>0</v>
      </c>
      <c r="Q935" s="9"/>
      <c r="R935" s="9">
        <v>1</v>
      </c>
      <c r="S935" s="9">
        <f>IF(N935&gt;0,TODAY()-N935,"")</f>
        <v>24</v>
      </c>
    </row>
    <row r="936" ht="17" customHeight="1" spans="1:19" x14ac:dyDescent="0.25">
      <c r="A936" s="11" t="s">
        <v>20</v>
      </c>
      <c r="B936" s="11" t="s">
        <v>1791</v>
      </c>
      <c r="C936" s="11" t="s">
        <v>1892</v>
      </c>
      <c r="D936" s="11" t="s">
        <v>1893</v>
      </c>
      <c r="E936" s="12">
        <v>10350</v>
      </c>
      <c r="F936" s="13">
        <v>7.467769082125603</v>
      </c>
      <c r="G936" s="14">
        <v>45727</v>
      </c>
      <c r="H936" s="13">
        <v>5.87</v>
      </c>
      <c r="I936" s="15" t="s">
        <v>24</v>
      </c>
      <c r="J936" s="13"/>
      <c r="K936" s="16" t="str">
        <f>IF(AND(H936&gt;0,J936&gt;0),(J936-H936)/H936,"")</f>
        <v/>
      </c>
      <c r="L936" s="13">
        <v>9.89</v>
      </c>
      <c r="M936" s="23">
        <f>IF(AND(J936&gt;0,L936&gt;0),(L936-J936)/J936,IF(AND(H936&gt;0,L936&gt;0),(L936-H936)/H936,""))</f>
        <v>0.6848381601362863</v>
      </c>
      <c r="N936" s="14">
        <v>46091</v>
      </c>
      <c r="O936" s="13">
        <v>9.68</v>
      </c>
      <c r="P936" s="25">
        <f>IF(AND(L936&gt;0,O936&gt;0),(O936-L936)/L936,"")</f>
        <v>-0.02123356926188077</v>
      </c>
      <c r="Q936" s="18">
        <v>28</v>
      </c>
      <c r="R936" s="18">
        <v>14</v>
      </c>
      <c r="S936" s="18">
        <f>IF(N936&gt;0,TODAY()-N936,"")</f>
        <v>20</v>
      </c>
    </row>
    <row r="937" ht="17" customHeight="1" spans="1:19" x14ac:dyDescent="0.25">
      <c r="A937" s="3" t="s">
        <v>20</v>
      </c>
      <c r="B937" s="3" t="s">
        <v>1791</v>
      </c>
      <c r="C937" s="3" t="s">
        <v>1894</v>
      </c>
      <c r="D937" s="3" t="s">
        <v>1895</v>
      </c>
      <c r="E937" s="4">
        <v>450</v>
      </c>
      <c r="F937" s="5">
        <v>20.4148</v>
      </c>
      <c r="G937" s="6">
        <v>46034</v>
      </c>
      <c r="H937" s="5">
        <v>20.13</v>
      </c>
      <c r="I937" s="7" t="s">
        <v>24</v>
      </c>
      <c r="J937" s="5"/>
      <c r="K937" s="8" t="str">
        <f>IF(AND(H937&gt;0,J937&gt;0),(J937-H937)/H937,"")</f>
        <v/>
      </c>
      <c r="L937" s="5">
        <v>20.13</v>
      </c>
      <c r="M937" s="24">
        <f>IF(AND(J937&gt;0,L937&gt;0),(L937-J937)/J937,IF(AND(H937&gt;0,L937&gt;0),(L937-H937)/H937,""))</f>
        <v>0</v>
      </c>
      <c r="N937" s="6">
        <v>46087</v>
      </c>
      <c r="O937" s="5">
        <v>20.42</v>
      </c>
      <c r="P937" s="24">
        <f>IF(AND(L937&gt;0,O937&gt;0),(O937-L937)/L937,"")</f>
        <v>0.014406358668653885</v>
      </c>
      <c r="Q937" s="9">
        <v>27</v>
      </c>
      <c r="R937" s="9">
        <v>3</v>
      </c>
      <c r="S937" s="9">
        <f>IF(N937&gt;0,TODAY()-N937,"")</f>
        <v>24</v>
      </c>
    </row>
    <row r="938" ht="17" customHeight="1" spans="1:19" x14ac:dyDescent="0.25">
      <c r="A938" s="11" t="s">
        <v>20</v>
      </c>
      <c r="B938" s="11" t="s">
        <v>1791</v>
      </c>
      <c r="C938" s="11" t="s">
        <v>1896</v>
      </c>
      <c r="D938" s="11" t="s">
        <v>1897</v>
      </c>
      <c r="E938" s="12">
        <v>25</v>
      </c>
      <c r="F938" s="13">
        <v>118.17</v>
      </c>
      <c r="G938" s="14">
        <v>46099</v>
      </c>
      <c r="H938" s="13">
        <v>118.17</v>
      </c>
      <c r="I938" s="15" t="s">
        <v>24</v>
      </c>
      <c r="J938" s="13"/>
      <c r="K938" s="16" t="str">
        <f>IF(AND(H938&gt;0,J938&gt;0),(J938-H938)/H938,"")</f>
        <v/>
      </c>
      <c r="L938" s="13"/>
      <c r="M938" s="16" t="str">
        <f>IF(AND(J938&gt;0,L938&gt;0),(L938-J938)/J938,IF(AND(H938&gt;0,L938&gt;0),(L938-H938)/H938,""))</f>
        <v/>
      </c>
      <c r="N938" s="14">
        <v>46099</v>
      </c>
      <c r="O938" s="13">
        <v>118.17</v>
      </c>
      <c r="P938" s="17">
        <f>IF(AND(L938&gt;0,O938&gt;0),(O938-L938)/L938,"")</f>
        <v>0</v>
      </c>
      <c r="Q938" s="18"/>
      <c r="R938" s="18">
        <v>1</v>
      </c>
      <c r="S938" s="18">
        <f>IF(N938&gt;0,TODAY()-N938,"")</f>
        <v>12</v>
      </c>
    </row>
    <row r="939" ht="17" customHeight="1" spans="1:19" x14ac:dyDescent="0.25">
      <c r="A939" s="3" t="s">
        <v>20</v>
      </c>
      <c r="B939" s="3" t="s">
        <v>1791</v>
      </c>
      <c r="C939" s="3" t="s">
        <v>1898</v>
      </c>
      <c r="D939" s="3" t="s">
        <v>1899</v>
      </c>
      <c r="E939" s="4">
        <v>130</v>
      </c>
      <c r="F939" s="5">
        <v>212.94</v>
      </c>
      <c r="G939" s="6">
        <v>45839</v>
      </c>
      <c r="H939" s="5">
        <v>212.94</v>
      </c>
      <c r="I939" s="7" t="s">
        <v>24</v>
      </c>
      <c r="J939" s="5"/>
      <c r="K939" s="8" t="str">
        <f>IF(AND(H939&gt;0,J939&gt;0),(J939-H939)/H939,"")</f>
        <v/>
      </c>
      <c r="L939" s="5"/>
      <c r="M939" s="8" t="str">
        <f>IF(AND(J939&gt;0,L939&gt;0),(L939-J939)/J939,IF(AND(H939&gt;0,L939&gt;0),(L939-H939)/H939,""))</f>
        <v/>
      </c>
      <c r="N939" s="6">
        <v>45839</v>
      </c>
      <c r="O939" s="5">
        <v>212.94</v>
      </c>
      <c r="P939" s="8" t="str">
        <f>IF(AND(L939&gt;0,O939&gt;0),(O939-L939)/L939,"")</f>
        <v/>
      </c>
      <c r="Q939" s="9"/>
      <c r="R939" s="9">
        <v>1</v>
      </c>
      <c r="S939" s="10">
        <f>IF(N939&gt;0,TODAY()-N939,"")</f>
        <v>272</v>
      </c>
    </row>
    <row r="940" ht="17" customHeight="1" spans="1:19" x14ac:dyDescent="0.25">
      <c r="A940" s="11" t="s">
        <v>20</v>
      </c>
      <c r="B940" s="11" t="s">
        <v>1791</v>
      </c>
      <c r="C940" s="11" t="s">
        <v>1900</v>
      </c>
      <c r="D940" s="11" t="s">
        <v>1901</v>
      </c>
      <c r="E940" s="12">
        <v>2.436</v>
      </c>
      <c r="F940" s="13">
        <v>7976.962233169129</v>
      </c>
      <c r="G940" s="14">
        <v>45726</v>
      </c>
      <c r="H940" s="13">
        <v>7918.81</v>
      </c>
      <c r="I940" s="15" t="s">
        <v>24</v>
      </c>
      <c r="J940" s="13"/>
      <c r="K940" s="16" t="str">
        <f>IF(AND(H940&gt;0,J940&gt;0),(J940-H940)/H940,"")</f>
        <v/>
      </c>
      <c r="L940" s="13"/>
      <c r="M940" s="16" t="str">
        <f>IF(AND(J940&gt;0,L940&gt;0),(L940-J940)/J940,IF(AND(H940&gt;0,L940&gt;0),(L940-H940)/H940,""))</f>
        <v/>
      </c>
      <c r="N940" s="14">
        <v>45735</v>
      </c>
      <c r="O940" s="13">
        <v>8100.42</v>
      </c>
      <c r="P940" s="16" t="str">
        <f>IF(AND(L940&gt;0,O940&gt;0),(O940-L940)/L940,"")</f>
        <v/>
      </c>
      <c r="Q940" s="18">
        <v>9</v>
      </c>
      <c r="R940" s="18">
        <v>2</v>
      </c>
      <c r="S940" s="10">
        <f>IF(N940&gt;0,TODAY()-N940,"")</f>
        <v>376</v>
      </c>
    </row>
    <row r="941" ht="17" customHeight="1" spans="1:19" x14ac:dyDescent="0.25">
      <c r="A941" s="3" t="s">
        <v>20</v>
      </c>
      <c r="B941" s="3" t="s">
        <v>1791</v>
      </c>
      <c r="C941" s="3" t="s">
        <v>1902</v>
      </c>
      <c r="D941" s="3" t="s">
        <v>1903</v>
      </c>
      <c r="E941" s="4">
        <v>300</v>
      </c>
      <c r="F941" s="5">
        <v>208.33333333333334</v>
      </c>
      <c r="G941" s="6">
        <v>45919</v>
      </c>
      <c r="H941" s="5">
        <v>208.33</v>
      </c>
      <c r="I941" s="7" t="s">
        <v>24</v>
      </c>
      <c r="J941" s="5"/>
      <c r="K941" s="8" t="str">
        <f>IF(AND(H941&gt;0,J941&gt;0),(J941-H941)/H941,"")</f>
        <v/>
      </c>
      <c r="L941" s="5"/>
      <c r="M941" s="8" t="str">
        <f>IF(AND(J941&gt;0,L941&gt;0),(L941-J941)/J941,IF(AND(H941&gt;0,L941&gt;0),(L941-H941)/H941,""))</f>
        <v/>
      </c>
      <c r="N941" s="6">
        <v>45919</v>
      </c>
      <c r="O941" s="5">
        <v>208.33</v>
      </c>
      <c r="P941" s="8" t="str">
        <f>IF(AND(L941&gt;0,O941&gt;0),(O941-L941)/L941,"")</f>
        <v/>
      </c>
      <c r="Q941" s="9"/>
      <c r="R941" s="9">
        <v>1</v>
      </c>
      <c r="S941" s="10">
        <f>IF(N941&gt;0,TODAY()-N941,"")</f>
        <v>192</v>
      </c>
    </row>
    <row r="942" ht="17" customHeight="1" spans="1:19" x14ac:dyDescent="0.25">
      <c r="A942" s="11" t="s">
        <v>20</v>
      </c>
      <c r="B942" s="11" t="s">
        <v>1791</v>
      </c>
      <c r="C942" s="11" t="s">
        <v>1904</v>
      </c>
      <c r="D942" s="11" t="s">
        <v>1905</v>
      </c>
      <c r="E942" s="12">
        <v>1</v>
      </c>
      <c r="F942" s="13">
        <v>475</v>
      </c>
      <c r="G942" s="14">
        <v>45891</v>
      </c>
      <c r="H942" s="13">
        <v>475</v>
      </c>
      <c r="I942" s="15" t="s">
        <v>24</v>
      </c>
      <c r="J942" s="13"/>
      <c r="K942" s="16" t="str">
        <f>IF(AND(H942&gt;0,J942&gt;0),(J942-H942)/H942,"")</f>
        <v/>
      </c>
      <c r="L942" s="13"/>
      <c r="M942" s="16" t="str">
        <f>IF(AND(J942&gt;0,L942&gt;0),(L942-J942)/J942,IF(AND(H942&gt;0,L942&gt;0),(L942-H942)/H942,""))</f>
        <v/>
      </c>
      <c r="N942" s="14">
        <v>45891</v>
      </c>
      <c r="O942" s="13">
        <v>475</v>
      </c>
      <c r="P942" s="16" t="str">
        <f>IF(AND(L942&gt;0,O942&gt;0),(O942-L942)/L942,"")</f>
        <v/>
      </c>
      <c r="Q942" s="18"/>
      <c r="R942" s="18">
        <v>1</v>
      </c>
      <c r="S942" s="10">
        <f>IF(N942&gt;0,TODAY()-N942,"")</f>
        <v>220</v>
      </c>
    </row>
    <row r="943" ht="17" customHeight="1" spans="1:19" x14ac:dyDescent="0.25">
      <c r="A943" s="3" t="s">
        <v>20</v>
      </c>
      <c r="B943" s="3" t="s">
        <v>1906</v>
      </c>
      <c r="C943" s="3" t="s">
        <v>1907</v>
      </c>
      <c r="D943" s="3" t="s">
        <v>1908</v>
      </c>
      <c r="E943" s="4">
        <v>1</v>
      </c>
      <c r="F943" s="5">
        <v>20000</v>
      </c>
      <c r="G943" s="6">
        <v>46027</v>
      </c>
      <c r="H943" s="5">
        <v>20000</v>
      </c>
      <c r="I943" s="7" t="s">
        <v>24</v>
      </c>
      <c r="J943" s="5"/>
      <c r="K943" s="8" t="str">
        <f>IF(AND(H943&gt;0,J943&gt;0),(J943-H943)/H943,"")</f>
        <v/>
      </c>
      <c r="L943" s="5">
        <v>20000</v>
      </c>
      <c r="M943" s="24">
        <f>IF(AND(J943&gt;0,L943&gt;0),(L943-J943)/J943,IF(AND(H943&gt;0,L943&gt;0),(L943-H943)/H943,""))</f>
        <v>0</v>
      </c>
      <c r="N943" s="6">
        <v>46027</v>
      </c>
      <c r="O943" s="5">
        <v>20000</v>
      </c>
      <c r="P943" s="8" t="str">
        <f>IF(AND(L943&gt;0,O943&gt;0),(O943-L943)/L943,"")</f>
        <v/>
      </c>
      <c r="Q943" s="9"/>
      <c r="R943" s="9">
        <v>1</v>
      </c>
      <c r="S943" s="19">
        <f>IF(N943&gt;0,TODAY()-N943,"")</f>
        <v>84</v>
      </c>
    </row>
    <row r="944" ht="17" customHeight="1" spans="1:19" x14ac:dyDescent="0.25">
      <c r="A944" s="11" t="s">
        <v>20</v>
      </c>
      <c r="B944" s="11" t="s">
        <v>1906</v>
      </c>
      <c r="C944" s="11" t="s">
        <v>1909</v>
      </c>
      <c r="D944" s="11" t="s">
        <v>1910</v>
      </c>
      <c r="E944" s="12">
        <v>1</v>
      </c>
      <c r="F944" s="13">
        <v>1205.7</v>
      </c>
      <c r="G944" s="14">
        <v>46072</v>
      </c>
      <c r="H944" s="13">
        <v>1205.7</v>
      </c>
      <c r="I944" s="15" t="s">
        <v>24</v>
      </c>
      <c r="J944" s="13"/>
      <c r="K944" s="16" t="str">
        <f>IF(AND(H944&gt;0,J944&gt;0),(J944-H944)/H944,"")</f>
        <v/>
      </c>
      <c r="L944" s="13"/>
      <c r="M944" s="16" t="str">
        <f>IF(AND(J944&gt;0,L944&gt;0),(L944-J944)/J944,IF(AND(H944&gt;0,L944&gt;0),(L944-H944)/H944,""))</f>
        <v/>
      </c>
      <c r="N944" s="14">
        <v>46072</v>
      </c>
      <c r="O944" s="13">
        <v>1205.7</v>
      </c>
      <c r="P944" s="17">
        <f>IF(AND(L944&gt;0,O944&gt;0),(O944-L944)/L944,"")</f>
        <v>0</v>
      </c>
      <c r="Q944" s="18"/>
      <c r="R944" s="18">
        <v>1</v>
      </c>
      <c r="S944" s="18">
        <f>IF(N944&gt;0,TODAY()-N944,"")</f>
        <v>39</v>
      </c>
    </row>
    <row r="945" ht="17" customHeight="1" spans="1:19" x14ac:dyDescent="0.25">
      <c r="A945" s="3" t="s">
        <v>20</v>
      </c>
      <c r="B945" s="3" t="s">
        <v>1906</v>
      </c>
      <c r="C945" s="3" t="s">
        <v>1911</v>
      </c>
      <c r="D945" s="3" t="s">
        <v>1912</v>
      </c>
      <c r="E945" s="4">
        <v>4</v>
      </c>
      <c r="F945" s="5">
        <v>143.215</v>
      </c>
      <c r="G945" s="6">
        <v>46072</v>
      </c>
      <c r="H945" s="5">
        <v>143.22</v>
      </c>
      <c r="I945" s="7" t="s">
        <v>24</v>
      </c>
      <c r="J945" s="5"/>
      <c r="K945" s="8" t="str">
        <f>IF(AND(H945&gt;0,J945&gt;0),(J945-H945)/H945,"")</f>
        <v/>
      </c>
      <c r="L945" s="5"/>
      <c r="M945" s="8" t="str">
        <f>IF(AND(J945&gt;0,L945&gt;0),(L945-J945)/J945,IF(AND(H945&gt;0,L945&gt;0),(L945-H945)/H945,""))</f>
        <v/>
      </c>
      <c r="N945" s="6">
        <v>46072</v>
      </c>
      <c r="O945" s="5">
        <v>143.22</v>
      </c>
      <c r="P945" s="24">
        <f>IF(AND(L945&gt;0,O945&gt;0),(O945-L945)/L945,"")</f>
        <v>0</v>
      </c>
      <c r="Q945" s="9"/>
      <c r="R945" s="9">
        <v>1</v>
      </c>
      <c r="S945" s="9">
        <f>IF(N945&gt;0,TODAY()-N945,"")</f>
        <v>39</v>
      </c>
    </row>
    <row r="946" ht="17" customHeight="1" spans="1:19" x14ac:dyDescent="0.25">
      <c r="A946" s="11" t="s">
        <v>20</v>
      </c>
      <c r="B946" s="11" t="s">
        <v>1906</v>
      </c>
      <c r="C946" s="11" t="s">
        <v>1913</v>
      </c>
      <c r="D946" s="11" t="s">
        <v>1914</v>
      </c>
      <c r="E946" s="12">
        <v>1</v>
      </c>
      <c r="F946" s="13">
        <v>11662</v>
      </c>
      <c r="G946" s="14">
        <v>46097</v>
      </c>
      <c r="H946" s="13">
        <v>11662</v>
      </c>
      <c r="I946" s="15" t="s">
        <v>24</v>
      </c>
      <c r="J946" s="13"/>
      <c r="K946" s="16" t="str">
        <f>IF(AND(H946&gt;0,J946&gt;0),(J946-H946)/H946,"")</f>
        <v/>
      </c>
      <c r="L946" s="13"/>
      <c r="M946" s="16" t="str">
        <f>IF(AND(J946&gt;0,L946&gt;0),(L946-J946)/J946,IF(AND(H946&gt;0,L946&gt;0),(L946-H946)/H946,""))</f>
        <v/>
      </c>
      <c r="N946" s="14">
        <v>46097</v>
      </c>
      <c r="O946" s="13">
        <v>11662</v>
      </c>
      <c r="P946" s="17">
        <f>IF(AND(L946&gt;0,O946&gt;0),(O946-L946)/L946,"")</f>
        <v>0</v>
      </c>
      <c r="Q946" s="18"/>
      <c r="R946" s="18">
        <v>1</v>
      </c>
      <c r="S946" s="18">
        <f>IF(N946&gt;0,TODAY()-N946,"")</f>
        <v>14</v>
      </c>
    </row>
    <row r="947" ht="17" customHeight="1" spans="1:19" x14ac:dyDescent="0.25">
      <c r="A947" s="3" t="s">
        <v>20</v>
      </c>
      <c r="B947" s="3" t="s">
        <v>1906</v>
      </c>
      <c r="C947" s="3" t="s">
        <v>1915</v>
      </c>
      <c r="D947" s="3" t="s">
        <v>1916</v>
      </c>
      <c r="E947" s="4">
        <v>3</v>
      </c>
      <c r="F947" s="5">
        <v>13.13</v>
      </c>
      <c r="G947" s="6">
        <v>46078</v>
      </c>
      <c r="H947" s="5">
        <v>13.13</v>
      </c>
      <c r="I947" s="7" t="s">
        <v>24</v>
      </c>
      <c r="J947" s="5"/>
      <c r="K947" s="8" t="str">
        <f>IF(AND(H947&gt;0,J947&gt;0),(J947-H947)/H947,"")</f>
        <v/>
      </c>
      <c r="L947" s="5"/>
      <c r="M947" s="8" t="str">
        <f>IF(AND(J947&gt;0,L947&gt;0),(L947-J947)/J947,IF(AND(H947&gt;0,L947&gt;0),(L947-H947)/H947,""))</f>
        <v/>
      </c>
      <c r="N947" s="6">
        <v>46078</v>
      </c>
      <c r="O947" s="5">
        <v>13.13</v>
      </c>
      <c r="P947" s="24">
        <f>IF(AND(L947&gt;0,O947&gt;0),(O947-L947)/L947,"")</f>
        <v>0</v>
      </c>
      <c r="Q947" s="9"/>
      <c r="R947" s="9">
        <v>1</v>
      </c>
      <c r="S947" s="9">
        <f>IF(N947&gt;0,TODAY()-N947,"")</f>
        <v>33</v>
      </c>
    </row>
    <row r="948" ht="17" customHeight="1" spans="1:19" x14ac:dyDescent="0.25">
      <c r="A948" s="11" t="s">
        <v>20</v>
      </c>
      <c r="B948" s="11" t="s">
        <v>1906</v>
      </c>
      <c r="C948" s="11" t="s">
        <v>1917</v>
      </c>
      <c r="D948" s="11" t="s">
        <v>1918</v>
      </c>
      <c r="E948" s="12">
        <v>2</v>
      </c>
      <c r="F948" s="13">
        <v>2250</v>
      </c>
      <c r="G948" s="14">
        <v>45992</v>
      </c>
      <c r="H948" s="13">
        <v>2250</v>
      </c>
      <c r="I948" s="15" t="s">
        <v>54</v>
      </c>
      <c r="J948" s="13">
        <v>2250</v>
      </c>
      <c r="K948" s="17">
        <f>IF(AND(H948&gt;0,J948&gt;0),(J948-H948)/H948,"")</f>
        <v>0</v>
      </c>
      <c r="L948" s="13"/>
      <c r="M948" s="16" t="str">
        <f>IF(AND(J948&gt;0,L948&gt;0),(L948-J948)/J948,IF(AND(H948&gt;0,L948&gt;0),(L948-H948)/H948,""))</f>
        <v/>
      </c>
      <c r="N948" s="14">
        <v>45992</v>
      </c>
      <c r="O948" s="13">
        <v>2250</v>
      </c>
      <c r="P948" s="16" t="str">
        <f>IF(AND(L948&gt;0,O948&gt;0),(O948-L948)/L948,"")</f>
        <v/>
      </c>
      <c r="Q948" s="18"/>
      <c r="R948" s="18">
        <v>1</v>
      </c>
      <c r="S948" s="21">
        <f>IF(N948&gt;0,TODAY()-N948,"")</f>
        <v>119</v>
      </c>
    </row>
    <row r="949" ht="17" customHeight="1" spans="1:19" x14ac:dyDescent="0.25">
      <c r="A949" s="3" t="s">
        <v>20</v>
      </c>
      <c r="B949" s="3" t="s">
        <v>1906</v>
      </c>
      <c r="C949" s="3" t="s">
        <v>1919</v>
      </c>
      <c r="D949" s="3" t="s">
        <v>1920</v>
      </c>
      <c r="E949" s="4">
        <v>1</v>
      </c>
      <c r="F949" s="5">
        <v>494.27</v>
      </c>
      <c r="G949" s="6">
        <v>46052</v>
      </c>
      <c r="H949" s="5">
        <v>494.27</v>
      </c>
      <c r="I949" s="7" t="s">
        <v>24</v>
      </c>
      <c r="J949" s="5"/>
      <c r="K949" s="8" t="str">
        <f>IF(AND(H949&gt;0,J949&gt;0),(J949-H949)/H949,"")</f>
        <v/>
      </c>
      <c r="L949" s="5">
        <v>494.27</v>
      </c>
      <c r="M949" s="24">
        <f>IF(AND(J949&gt;0,L949&gt;0),(L949-J949)/J949,IF(AND(H949&gt;0,L949&gt;0),(L949-H949)/H949,""))</f>
        <v>0</v>
      </c>
      <c r="N949" s="6">
        <v>46052</v>
      </c>
      <c r="O949" s="5">
        <v>494.27</v>
      </c>
      <c r="P949" s="8" t="str">
        <f>IF(AND(L949&gt;0,O949&gt;0),(O949-L949)/L949,"")</f>
        <v/>
      </c>
      <c r="Q949" s="9"/>
      <c r="R949" s="9">
        <v>1</v>
      </c>
      <c r="S949" s="9">
        <f>IF(N949&gt;0,TODAY()-N949,"")</f>
        <v>59</v>
      </c>
    </row>
    <row r="950" ht="17" customHeight="1" spans="1:19" x14ac:dyDescent="0.25">
      <c r="A950" s="11" t="s">
        <v>20</v>
      </c>
      <c r="B950" s="11" t="s">
        <v>1906</v>
      </c>
      <c r="C950" s="11" t="s">
        <v>1921</v>
      </c>
      <c r="D950" s="11" t="s">
        <v>1922</v>
      </c>
      <c r="E950" s="12">
        <v>2</v>
      </c>
      <c r="F950" s="13">
        <v>7822.425</v>
      </c>
      <c r="G950" s="14">
        <v>45944</v>
      </c>
      <c r="H950" s="13">
        <v>7822.43</v>
      </c>
      <c r="I950" s="15" t="s">
        <v>57</v>
      </c>
      <c r="J950" s="13">
        <v>7822.43</v>
      </c>
      <c r="K950" s="17">
        <f>IF(AND(H950&gt;0,J950&gt;0),(J950-H950)/H950,"")</f>
        <v>0</v>
      </c>
      <c r="L950" s="13"/>
      <c r="M950" s="16" t="str">
        <f>IF(AND(J950&gt;0,L950&gt;0),(L950-J950)/J950,IF(AND(H950&gt;0,L950&gt;0),(L950-H950)/H950,""))</f>
        <v/>
      </c>
      <c r="N950" s="14">
        <v>45944</v>
      </c>
      <c r="O950" s="13">
        <v>7822.43</v>
      </c>
      <c r="P950" s="16" t="str">
        <f>IF(AND(L950&gt;0,O950&gt;0),(O950-L950)/L950,"")</f>
        <v/>
      </c>
      <c r="Q950" s="18"/>
      <c r="R950" s="18">
        <v>1</v>
      </c>
      <c r="S950" s="21">
        <f>IF(N950&gt;0,TODAY()-N950,"")</f>
        <v>167</v>
      </c>
    </row>
    <row r="951" ht="17" customHeight="1" spans="1:19" x14ac:dyDescent="0.25">
      <c r="A951" s="3" t="s">
        <v>20</v>
      </c>
      <c r="B951" s="3" t="s">
        <v>1906</v>
      </c>
      <c r="C951" s="3" t="s">
        <v>1923</v>
      </c>
      <c r="D951" s="3" t="s">
        <v>1924</v>
      </c>
      <c r="E951" s="4">
        <v>30</v>
      </c>
      <c r="F951" s="5">
        <v>18</v>
      </c>
      <c r="G951" s="6">
        <v>45908</v>
      </c>
      <c r="H951" s="5">
        <v>18</v>
      </c>
      <c r="I951" s="7" t="s">
        <v>24</v>
      </c>
      <c r="J951" s="5"/>
      <c r="K951" s="8" t="str">
        <f>IF(AND(H951&gt;0,J951&gt;0),(J951-H951)/H951,"")</f>
        <v/>
      </c>
      <c r="L951" s="5"/>
      <c r="M951" s="8" t="str">
        <f>IF(AND(J951&gt;0,L951&gt;0),(L951-J951)/J951,IF(AND(H951&gt;0,L951&gt;0),(L951-H951)/H951,""))</f>
        <v/>
      </c>
      <c r="N951" s="6">
        <v>45908</v>
      </c>
      <c r="O951" s="5">
        <v>18</v>
      </c>
      <c r="P951" s="8" t="str">
        <f>IF(AND(L951&gt;0,O951&gt;0),(O951-L951)/L951,"")</f>
        <v/>
      </c>
      <c r="Q951" s="9"/>
      <c r="R951" s="9">
        <v>1</v>
      </c>
      <c r="S951" s="10">
        <f>IF(N951&gt;0,TODAY()-N951,"")</f>
        <v>203</v>
      </c>
    </row>
    <row r="952" ht="17" customHeight="1" spans="1:19" x14ac:dyDescent="0.25">
      <c r="A952" s="11" t="s">
        <v>20</v>
      </c>
      <c r="B952" s="11" t="s">
        <v>1906</v>
      </c>
      <c r="C952" s="11" t="s">
        <v>1925</v>
      </c>
      <c r="D952" s="11" t="s">
        <v>1926</v>
      </c>
      <c r="E952" s="12">
        <v>30</v>
      </c>
      <c r="F952" s="13">
        <v>19</v>
      </c>
      <c r="G952" s="14">
        <v>45908</v>
      </c>
      <c r="H952" s="13">
        <v>19</v>
      </c>
      <c r="I952" s="15" t="s">
        <v>24</v>
      </c>
      <c r="J952" s="13"/>
      <c r="K952" s="16" t="str">
        <f>IF(AND(H952&gt;0,J952&gt;0),(J952-H952)/H952,"")</f>
        <v/>
      </c>
      <c r="L952" s="13"/>
      <c r="M952" s="16" t="str">
        <f>IF(AND(J952&gt;0,L952&gt;0),(L952-J952)/J952,IF(AND(H952&gt;0,L952&gt;0),(L952-H952)/H952,""))</f>
        <v/>
      </c>
      <c r="N952" s="14">
        <v>45908</v>
      </c>
      <c r="O952" s="13">
        <v>19</v>
      </c>
      <c r="P952" s="16" t="str">
        <f>IF(AND(L952&gt;0,O952&gt;0),(O952-L952)/L952,"")</f>
        <v/>
      </c>
      <c r="Q952" s="18"/>
      <c r="R952" s="18">
        <v>1</v>
      </c>
      <c r="S952" s="10">
        <f>IF(N952&gt;0,TODAY()-N952,"")</f>
        <v>203</v>
      </c>
    </row>
    <row r="953" ht="17" customHeight="1" spans="1:19" x14ac:dyDescent="0.25">
      <c r="A953" s="3" t="s">
        <v>20</v>
      </c>
      <c r="B953" s="3" t="s">
        <v>1906</v>
      </c>
      <c r="C953" s="3" t="s">
        <v>1927</v>
      </c>
      <c r="D953" s="3" t="s">
        <v>1928</v>
      </c>
      <c r="E953" s="4">
        <v>20</v>
      </c>
      <c r="F953" s="5">
        <v>190</v>
      </c>
      <c r="G953" s="6">
        <v>45908</v>
      </c>
      <c r="H953" s="5">
        <v>190</v>
      </c>
      <c r="I953" s="7" t="s">
        <v>24</v>
      </c>
      <c r="J953" s="5"/>
      <c r="K953" s="8" t="str">
        <f>IF(AND(H953&gt;0,J953&gt;0),(J953-H953)/H953,"")</f>
        <v/>
      </c>
      <c r="L953" s="5"/>
      <c r="M953" s="8" t="str">
        <f>IF(AND(J953&gt;0,L953&gt;0),(L953-J953)/J953,IF(AND(H953&gt;0,L953&gt;0),(L953-H953)/H953,""))</f>
        <v/>
      </c>
      <c r="N953" s="6">
        <v>45908</v>
      </c>
      <c r="O953" s="5">
        <v>190</v>
      </c>
      <c r="P953" s="8" t="str">
        <f>IF(AND(L953&gt;0,O953&gt;0),(O953-L953)/L953,"")</f>
        <v/>
      </c>
      <c r="Q953" s="9"/>
      <c r="R953" s="9">
        <v>1</v>
      </c>
      <c r="S953" s="10">
        <f>IF(N953&gt;0,TODAY()-N953,"")</f>
        <v>203</v>
      </c>
    </row>
    <row r="954" ht="17" customHeight="1" spans="1:19" x14ac:dyDescent="0.25">
      <c r="A954" s="11" t="s">
        <v>20</v>
      </c>
      <c r="B954" s="11" t="s">
        <v>1906</v>
      </c>
      <c r="C954" s="11" t="s">
        <v>1929</v>
      </c>
      <c r="D954" s="11" t="s">
        <v>1930</v>
      </c>
      <c r="E954" s="12">
        <v>1</v>
      </c>
      <c r="F954" s="13">
        <v>2500</v>
      </c>
      <c r="G954" s="14">
        <v>46084</v>
      </c>
      <c r="H954" s="13">
        <v>2500</v>
      </c>
      <c r="I954" s="15" t="s">
        <v>24</v>
      </c>
      <c r="J954" s="13"/>
      <c r="K954" s="16" t="str">
        <f>IF(AND(H954&gt;0,J954&gt;0),(J954-H954)/H954,"")</f>
        <v/>
      </c>
      <c r="L954" s="13"/>
      <c r="M954" s="16" t="str">
        <f>IF(AND(J954&gt;0,L954&gt;0),(L954-J954)/J954,IF(AND(H954&gt;0,L954&gt;0),(L954-H954)/H954,""))</f>
        <v/>
      </c>
      <c r="N954" s="14">
        <v>46084</v>
      </c>
      <c r="O954" s="13">
        <v>2500</v>
      </c>
      <c r="P954" s="17">
        <f>IF(AND(L954&gt;0,O954&gt;0),(O954-L954)/L954,"")</f>
        <v>0</v>
      </c>
      <c r="Q954" s="18"/>
      <c r="R954" s="18">
        <v>1</v>
      </c>
      <c r="S954" s="18">
        <f>IF(N954&gt;0,TODAY()-N954,"")</f>
        <v>27</v>
      </c>
    </row>
    <row r="955" ht="17" customHeight="1" spans="1:19" x14ac:dyDescent="0.25">
      <c r="A955" s="3" t="s">
        <v>20</v>
      </c>
      <c r="B955" s="3" t="s">
        <v>1906</v>
      </c>
      <c r="C955" s="3" t="s">
        <v>1931</v>
      </c>
      <c r="D955" s="3" t="s">
        <v>1932</v>
      </c>
      <c r="E955" s="4">
        <v>30</v>
      </c>
      <c r="F955" s="5">
        <v>35</v>
      </c>
      <c r="G955" s="6">
        <v>45908</v>
      </c>
      <c r="H955" s="5">
        <v>35</v>
      </c>
      <c r="I955" s="7" t="s">
        <v>24</v>
      </c>
      <c r="J955" s="5"/>
      <c r="K955" s="8" t="str">
        <f>IF(AND(H955&gt;0,J955&gt;0),(J955-H955)/H955,"")</f>
        <v/>
      </c>
      <c r="L955" s="5"/>
      <c r="M955" s="8" t="str">
        <f>IF(AND(J955&gt;0,L955&gt;0),(L955-J955)/J955,IF(AND(H955&gt;0,L955&gt;0),(L955-H955)/H955,""))</f>
        <v/>
      </c>
      <c r="N955" s="6">
        <v>45908</v>
      </c>
      <c r="O955" s="5">
        <v>35</v>
      </c>
      <c r="P955" s="8" t="str">
        <f>IF(AND(L955&gt;0,O955&gt;0),(O955-L955)/L955,"")</f>
        <v/>
      </c>
      <c r="Q955" s="9"/>
      <c r="R955" s="9">
        <v>1</v>
      </c>
      <c r="S955" s="10">
        <f>IF(N955&gt;0,TODAY()-N955,"")</f>
        <v>203</v>
      </c>
    </row>
    <row r="956" ht="22" customHeight="1" spans="1:19" x14ac:dyDescent="0.25">
      <c r="A956" s="27" t="s">
        <v>1933</v>
      </c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 ht="17" customHeight="1" spans="1:19" x14ac:dyDescent="0.25">
      <c r="A957" s="3" t="s">
        <v>1934</v>
      </c>
      <c r="B957" s="3" t="s">
        <v>1935</v>
      </c>
      <c r="C957" s="3" t="s">
        <v>1936</v>
      </c>
      <c r="D957" s="3" t="s">
        <v>1937</v>
      </c>
      <c r="E957" s="4">
        <v>160</v>
      </c>
      <c r="F957" s="5">
        <v>105</v>
      </c>
      <c r="G957" s="6">
        <v>45850</v>
      </c>
      <c r="H957" s="5">
        <v>105</v>
      </c>
      <c r="I957" s="7" t="s">
        <v>24</v>
      </c>
      <c r="J957" s="5"/>
      <c r="K957" s="8" t="str">
        <f>IF(AND(H957&gt;0,J957&gt;0),(J957-H957)/H957,"")</f>
        <v/>
      </c>
      <c r="L957" s="5"/>
      <c r="M957" s="8" t="str">
        <f>IF(AND(J957&gt;0,L957&gt;0),(L957-J957)/J957,IF(AND(H957&gt;0,L957&gt;0),(L957-H957)/H957,""))</f>
        <v/>
      </c>
      <c r="N957" s="6">
        <v>45850</v>
      </c>
      <c r="O957" s="5">
        <v>105</v>
      </c>
      <c r="P957" s="8" t="str">
        <f>IF(AND(L957&gt;0,O957&gt;0),(O957-L957)/L957,"")</f>
        <v/>
      </c>
      <c r="Q957" s="9"/>
      <c r="R957" s="9">
        <v>1</v>
      </c>
      <c r="S957" s="10">
        <f>IF(N957&gt;0,TODAY()-N957,"")</f>
        <v>261</v>
      </c>
    </row>
    <row r="958" ht="17" customHeight="1" spans="1:19" x14ac:dyDescent="0.25">
      <c r="A958" s="11" t="s">
        <v>1934</v>
      </c>
      <c r="B958" s="11" t="s">
        <v>1935</v>
      </c>
      <c r="C958" s="11" t="s">
        <v>1938</v>
      </c>
      <c r="D958" s="11" t="s">
        <v>1939</v>
      </c>
      <c r="E958" s="12">
        <v>205</v>
      </c>
      <c r="F958" s="13">
        <v>46.85</v>
      </c>
      <c r="G958" s="14">
        <v>45709</v>
      </c>
      <c r="H958" s="13">
        <v>46.85</v>
      </c>
      <c r="I958" s="15" t="s">
        <v>24</v>
      </c>
      <c r="J958" s="13"/>
      <c r="K958" s="16" t="str">
        <f>IF(AND(H958&gt;0,J958&gt;0),(J958-H958)/H958,"")</f>
        <v/>
      </c>
      <c r="L958" s="13"/>
      <c r="M958" s="16" t="str">
        <f>IF(AND(J958&gt;0,L958&gt;0),(L958-J958)/J958,IF(AND(H958&gt;0,L958&gt;0),(L958-H958)/H958,""))</f>
        <v/>
      </c>
      <c r="N958" s="14">
        <v>45709</v>
      </c>
      <c r="O958" s="13">
        <v>46.85</v>
      </c>
      <c r="P958" s="16" t="str">
        <f>IF(AND(L958&gt;0,O958&gt;0),(O958-L958)/L958,"")</f>
        <v/>
      </c>
      <c r="Q958" s="18"/>
      <c r="R958" s="18">
        <v>1</v>
      </c>
      <c r="S958" s="10">
        <f>IF(N958&gt;0,TODAY()-N958,"")</f>
        <v>402</v>
      </c>
    </row>
    <row r="959" ht="17" customHeight="1" spans="1:19" x14ac:dyDescent="0.25">
      <c r="A959" s="3" t="s">
        <v>1934</v>
      </c>
      <c r="B959" s="3" t="s">
        <v>1935</v>
      </c>
      <c r="C959" s="3" t="s">
        <v>1940</v>
      </c>
      <c r="D959" s="3" t="s">
        <v>1941</v>
      </c>
      <c r="E959" s="4">
        <v>42</v>
      </c>
      <c r="F959" s="5">
        <v>241.52380952380952</v>
      </c>
      <c r="G959" s="6">
        <v>45664</v>
      </c>
      <c r="H959" s="5">
        <v>214.5</v>
      </c>
      <c r="I959" s="7" t="s">
        <v>57</v>
      </c>
      <c r="J959" s="5">
        <v>263</v>
      </c>
      <c r="K959" s="22">
        <f>IF(AND(H959&gt;0,J959&gt;0),(J959-H959)/H959,"")</f>
        <v>0.2261072261072261</v>
      </c>
      <c r="L959" s="5"/>
      <c r="M959" s="8" t="str">
        <f>IF(AND(J959&gt;0,L959&gt;0),(L959-J959)/J959,IF(AND(H959&gt;0,L959&gt;0),(L959-H959)/H959,""))</f>
        <v/>
      </c>
      <c r="N959" s="6">
        <v>45953</v>
      </c>
      <c r="O959" s="5">
        <v>263</v>
      </c>
      <c r="P959" s="8" t="str">
        <f>IF(AND(L959&gt;0,O959&gt;0),(O959-L959)/L959,"")</f>
        <v/>
      </c>
      <c r="Q959" s="9">
        <v>32</v>
      </c>
      <c r="R959" s="9">
        <v>10</v>
      </c>
      <c r="S959" s="21">
        <f>IF(N959&gt;0,TODAY()-N959,"")</f>
        <v>158</v>
      </c>
    </row>
    <row r="960" ht="17" customHeight="1" spans="1:19" x14ac:dyDescent="0.25">
      <c r="A960" s="11" t="s">
        <v>1934</v>
      </c>
      <c r="B960" s="11" t="s">
        <v>1935</v>
      </c>
      <c r="C960" s="11" t="s">
        <v>1942</v>
      </c>
      <c r="D960" s="11" t="s">
        <v>1943</v>
      </c>
      <c r="E960" s="12">
        <v>209</v>
      </c>
      <c r="F960" s="13">
        <v>58.800000000000004</v>
      </c>
      <c r="G960" s="14">
        <v>45709</v>
      </c>
      <c r="H960" s="13">
        <v>58.8</v>
      </c>
      <c r="I960" s="15" t="s">
        <v>24</v>
      </c>
      <c r="J960" s="13"/>
      <c r="K960" s="16" t="str">
        <f>IF(AND(H960&gt;0,J960&gt;0),(J960-H960)/H960,"")</f>
        <v/>
      </c>
      <c r="L960" s="13"/>
      <c r="M960" s="16" t="str">
        <f>IF(AND(J960&gt;0,L960&gt;0),(L960-J960)/J960,IF(AND(H960&gt;0,L960&gt;0),(L960-H960)/H960,""))</f>
        <v/>
      </c>
      <c r="N960" s="14">
        <v>45709</v>
      </c>
      <c r="O960" s="13">
        <v>58.8</v>
      </c>
      <c r="P960" s="16" t="str">
        <f>IF(AND(L960&gt;0,O960&gt;0),(O960-L960)/L960,"")</f>
        <v/>
      </c>
      <c r="Q960" s="18"/>
      <c r="R960" s="18">
        <v>1</v>
      </c>
      <c r="S960" s="10">
        <f>IF(N960&gt;0,TODAY()-N960,"")</f>
        <v>402</v>
      </c>
    </row>
    <row r="961" ht="17" customHeight="1" spans="1:19" x14ac:dyDescent="0.25">
      <c r="A961" s="3" t="s">
        <v>1934</v>
      </c>
      <c r="B961" s="3" t="s">
        <v>1935</v>
      </c>
      <c r="C961" s="3" t="s">
        <v>1944</v>
      </c>
      <c r="D961" s="3" t="s">
        <v>1945</v>
      </c>
      <c r="E961" s="4">
        <v>14</v>
      </c>
      <c r="F961" s="5">
        <v>218.18200000000002</v>
      </c>
      <c r="G961" s="6">
        <v>45833</v>
      </c>
      <c r="H961" s="5">
        <v>218.18</v>
      </c>
      <c r="I961" s="7" t="s">
        <v>24</v>
      </c>
      <c r="J961" s="5"/>
      <c r="K961" s="8" t="str">
        <f>IF(AND(H961&gt;0,J961&gt;0),(J961-H961)/H961,"")</f>
        <v/>
      </c>
      <c r="L961" s="5"/>
      <c r="M961" s="8" t="str">
        <f>IF(AND(J961&gt;0,L961&gt;0),(L961-J961)/J961,IF(AND(H961&gt;0,L961&gt;0),(L961-H961)/H961,""))</f>
        <v/>
      </c>
      <c r="N961" s="6">
        <v>45875</v>
      </c>
      <c r="O961" s="5">
        <v>218.18</v>
      </c>
      <c r="P961" s="8" t="str">
        <f>IF(AND(L961&gt;0,O961&gt;0),(O961-L961)/L961,"")</f>
        <v/>
      </c>
      <c r="Q961" s="9">
        <v>42</v>
      </c>
      <c r="R961" s="9">
        <v>2</v>
      </c>
      <c r="S961" s="10">
        <f>IF(N961&gt;0,TODAY()-N961,"")</f>
        <v>236</v>
      </c>
    </row>
    <row r="962" ht="17" customHeight="1" spans="1:19" x14ac:dyDescent="0.25">
      <c r="A962" s="11" t="s">
        <v>1934</v>
      </c>
      <c r="B962" s="11" t="s">
        <v>1935</v>
      </c>
      <c r="C962" s="11" t="s">
        <v>1946</v>
      </c>
      <c r="D962" s="11" t="s">
        <v>1947</v>
      </c>
      <c r="E962" s="12">
        <v>4</v>
      </c>
      <c r="F962" s="13">
        <v>800</v>
      </c>
      <c r="G962" s="14">
        <v>45713</v>
      </c>
      <c r="H962" s="13">
        <v>433.33</v>
      </c>
      <c r="I962" s="15" t="s">
        <v>24</v>
      </c>
      <c r="J962" s="13"/>
      <c r="K962" s="16" t="str">
        <f>IF(AND(H962&gt;0,J962&gt;0),(J962-H962)/H962,"")</f>
        <v/>
      </c>
      <c r="L962" s="13"/>
      <c r="M962" s="16" t="str">
        <f>IF(AND(J962&gt;0,L962&gt;0),(L962-J962)/J962,IF(AND(H962&gt;0,L962&gt;0),(L962-H962)/H962,""))</f>
        <v/>
      </c>
      <c r="N962" s="14">
        <v>45824</v>
      </c>
      <c r="O962" s="13">
        <v>433.33</v>
      </c>
      <c r="P962" s="16" t="str">
        <f>IF(AND(L962&gt;0,O962&gt;0),(O962-L962)/L962,"")</f>
        <v/>
      </c>
      <c r="Q962" s="18">
        <v>56</v>
      </c>
      <c r="R962" s="18">
        <v>3</v>
      </c>
      <c r="S962" s="10">
        <f>IF(N962&gt;0,TODAY()-N962,"")</f>
        <v>287</v>
      </c>
    </row>
    <row r="963" ht="17" customHeight="1" spans="1:19" x14ac:dyDescent="0.25">
      <c r="A963" s="3" t="s">
        <v>1934</v>
      </c>
      <c r="B963" s="3" t="s">
        <v>1935</v>
      </c>
      <c r="C963" s="3" t="s">
        <v>1948</v>
      </c>
      <c r="D963" s="3" t="s">
        <v>1949</v>
      </c>
      <c r="E963" s="4">
        <v>15</v>
      </c>
      <c r="F963" s="5">
        <v>519.4</v>
      </c>
      <c r="G963" s="6">
        <v>45771</v>
      </c>
      <c r="H963" s="5">
        <v>499</v>
      </c>
      <c r="I963" s="7" t="s">
        <v>60</v>
      </c>
      <c r="J963" s="5">
        <v>550</v>
      </c>
      <c r="K963" s="22">
        <f>IF(AND(H963&gt;0,J963&gt;0),(J963-H963)/H963,"")</f>
        <v>0.10220440881763528</v>
      </c>
      <c r="L963" s="5"/>
      <c r="M963" s="8" t="str">
        <f>IF(AND(J963&gt;0,L963&gt;0),(L963-J963)/J963,IF(AND(H963&gt;0,L963&gt;0),(L963-H963)/H963,""))</f>
        <v/>
      </c>
      <c r="N963" s="6">
        <v>45964</v>
      </c>
      <c r="O963" s="5">
        <v>550</v>
      </c>
      <c r="P963" s="8" t="str">
        <f>IF(AND(L963&gt;0,O963&gt;0),(O963-L963)/L963,"")</f>
        <v/>
      </c>
      <c r="Q963" s="9">
        <v>64</v>
      </c>
      <c r="R963" s="9">
        <v>4</v>
      </c>
      <c r="S963" s="21">
        <f>IF(N963&gt;0,TODAY()-N963,"")</f>
        <v>147</v>
      </c>
    </row>
    <row r="964" ht="17" customHeight="1" spans="1:19" x14ac:dyDescent="0.25">
      <c r="A964" s="11" t="s">
        <v>1934</v>
      </c>
      <c r="B964" s="11" t="s">
        <v>1935</v>
      </c>
      <c r="C964" s="11" t="s">
        <v>1950</v>
      </c>
      <c r="D964" s="11" t="s">
        <v>1951</v>
      </c>
      <c r="E964" s="12">
        <v>17</v>
      </c>
      <c r="F964" s="13">
        <v>500</v>
      </c>
      <c r="G964" s="14">
        <v>45754</v>
      </c>
      <c r="H964" s="13">
        <v>270.83</v>
      </c>
      <c r="I964" s="15" t="s">
        <v>24</v>
      </c>
      <c r="J964" s="13"/>
      <c r="K964" s="16" t="str">
        <f>IF(AND(H964&gt;0,J964&gt;0),(J964-H964)/H964,"")</f>
        <v/>
      </c>
      <c r="L964" s="13"/>
      <c r="M964" s="16" t="str">
        <f>IF(AND(J964&gt;0,L964&gt;0),(L964-J964)/J964,IF(AND(H964&gt;0,L964&gt;0),(L964-H964)/H964,""))</f>
        <v/>
      </c>
      <c r="N964" s="14">
        <v>45818</v>
      </c>
      <c r="O964" s="13">
        <v>270.83</v>
      </c>
      <c r="P964" s="16" t="str">
        <f>IF(AND(L964&gt;0,O964&gt;0),(O964-L964)/L964,"")</f>
        <v/>
      </c>
      <c r="Q964" s="18">
        <v>64</v>
      </c>
      <c r="R964" s="18">
        <v>2</v>
      </c>
      <c r="S964" s="10">
        <f>IF(N964&gt;0,TODAY()-N964,"")</f>
        <v>293</v>
      </c>
    </row>
    <row r="965" ht="17" customHeight="1" spans="1:19" x14ac:dyDescent="0.25">
      <c r="A965" s="3" t="s">
        <v>1934</v>
      </c>
      <c r="B965" s="3" t="s">
        <v>1935</v>
      </c>
      <c r="C965" s="3" t="s">
        <v>1952</v>
      </c>
      <c r="D965" s="3" t="s">
        <v>1953</v>
      </c>
      <c r="E965" s="4">
        <v>12</v>
      </c>
      <c r="F965" s="5">
        <v>278.5416666666667</v>
      </c>
      <c r="G965" s="6">
        <v>45684</v>
      </c>
      <c r="H965" s="5">
        <v>262.5</v>
      </c>
      <c r="I965" s="7" t="s">
        <v>24</v>
      </c>
      <c r="J965" s="5"/>
      <c r="K965" s="8" t="str">
        <f>IF(AND(H965&gt;0,J965&gt;0),(J965-H965)/H965,"")</f>
        <v/>
      </c>
      <c r="L965" s="5"/>
      <c r="M965" s="8" t="str">
        <f>IF(AND(J965&gt;0,L965&gt;0),(L965-J965)/J965,IF(AND(H965&gt;0,L965&gt;0),(L965-H965)/H965,""))</f>
        <v/>
      </c>
      <c r="N965" s="6">
        <v>45909</v>
      </c>
      <c r="O965" s="5">
        <v>290</v>
      </c>
      <c r="P965" s="8" t="str">
        <f>IF(AND(L965&gt;0,O965&gt;0),(O965-L965)/L965,"")</f>
        <v/>
      </c>
      <c r="Q965" s="9">
        <v>113</v>
      </c>
      <c r="R965" s="9">
        <v>3</v>
      </c>
      <c r="S965" s="10">
        <f>IF(N965&gt;0,TODAY()-N965,"")</f>
        <v>202</v>
      </c>
    </row>
    <row r="966" ht="17" customHeight="1" spans="1:19" x14ac:dyDescent="0.25">
      <c r="A966" s="11" t="s">
        <v>1934</v>
      </c>
      <c r="B966" s="11" t="s">
        <v>1935</v>
      </c>
      <c r="C966" s="11" t="s">
        <v>1954</v>
      </c>
      <c r="D966" s="11" t="s">
        <v>1955</v>
      </c>
      <c r="E966" s="12">
        <v>10</v>
      </c>
      <c r="F966" s="13">
        <v>1641.6650000000002</v>
      </c>
      <c r="G966" s="14">
        <v>45925</v>
      </c>
      <c r="H966" s="13">
        <v>1641.67</v>
      </c>
      <c r="I966" s="15" t="s">
        <v>24</v>
      </c>
      <c r="J966" s="13"/>
      <c r="K966" s="16" t="str">
        <f>IF(AND(H966&gt;0,J966&gt;0),(J966-H966)/H966,"")</f>
        <v/>
      </c>
      <c r="L966" s="13"/>
      <c r="M966" s="16" t="str">
        <f>IF(AND(J966&gt;0,L966&gt;0),(L966-J966)/J966,IF(AND(H966&gt;0,L966&gt;0),(L966-H966)/H966,""))</f>
        <v/>
      </c>
      <c r="N966" s="14">
        <v>45925</v>
      </c>
      <c r="O966" s="13">
        <v>1641.67</v>
      </c>
      <c r="P966" s="16" t="str">
        <f>IF(AND(L966&gt;0,O966&gt;0),(O966-L966)/L966,"")</f>
        <v/>
      </c>
      <c r="Q966" s="18"/>
      <c r="R966" s="18">
        <v>1</v>
      </c>
      <c r="S966" s="10">
        <f>IF(N966&gt;0,TODAY()-N966,"")</f>
        <v>186</v>
      </c>
    </row>
    <row r="967" ht="17" customHeight="1" spans="1:19" x14ac:dyDescent="0.25">
      <c r="A967" s="3" t="s">
        <v>1934</v>
      </c>
      <c r="B967" s="3" t="s">
        <v>1935</v>
      </c>
      <c r="C967" s="3" t="s">
        <v>1956</v>
      </c>
      <c r="D967" s="3" t="s">
        <v>1957</v>
      </c>
      <c r="E967" s="4">
        <v>1</v>
      </c>
      <c r="F967" s="5">
        <v>508</v>
      </c>
      <c r="G967" s="6">
        <v>45684</v>
      </c>
      <c r="H967" s="5">
        <v>508</v>
      </c>
      <c r="I967" s="7" t="s">
        <v>24</v>
      </c>
      <c r="J967" s="5"/>
      <c r="K967" s="8" t="str">
        <f>IF(AND(H967&gt;0,J967&gt;0),(J967-H967)/H967,"")</f>
        <v/>
      </c>
      <c r="L967" s="5"/>
      <c r="M967" s="8" t="str">
        <f>IF(AND(J967&gt;0,L967&gt;0),(L967-J967)/J967,IF(AND(H967&gt;0,L967&gt;0),(L967-H967)/H967,""))</f>
        <v/>
      </c>
      <c r="N967" s="6">
        <v>45684</v>
      </c>
      <c r="O967" s="5">
        <v>508</v>
      </c>
      <c r="P967" s="8" t="str">
        <f>IF(AND(L967&gt;0,O967&gt;0),(O967-L967)/L967,"")</f>
        <v/>
      </c>
      <c r="Q967" s="9"/>
      <c r="R967" s="9">
        <v>1</v>
      </c>
      <c r="S967" s="10">
        <f>IF(N967&gt;0,TODAY()-N967,"")</f>
        <v>427</v>
      </c>
    </row>
    <row r="968" ht="17" customHeight="1" spans="1:19" x14ac:dyDescent="0.25">
      <c r="A968" s="11" t="s">
        <v>1934</v>
      </c>
      <c r="B968" s="11" t="s">
        <v>1935</v>
      </c>
      <c r="C968" s="11" t="s">
        <v>1958</v>
      </c>
      <c r="D968" s="11" t="s">
        <v>1959</v>
      </c>
      <c r="E968" s="12">
        <v>5</v>
      </c>
      <c r="F968" s="13">
        <v>218.18200000000002</v>
      </c>
      <c r="G968" s="14">
        <v>45833</v>
      </c>
      <c r="H968" s="13">
        <v>218.18</v>
      </c>
      <c r="I968" s="15" t="s">
        <v>24</v>
      </c>
      <c r="J968" s="13"/>
      <c r="K968" s="16" t="str">
        <f>IF(AND(H968&gt;0,J968&gt;0),(J968-H968)/H968,"")</f>
        <v/>
      </c>
      <c r="L968" s="13"/>
      <c r="M968" s="16" t="str">
        <f>IF(AND(J968&gt;0,L968&gt;0),(L968-J968)/J968,IF(AND(H968&gt;0,L968&gt;0),(L968-H968)/H968,""))</f>
        <v/>
      </c>
      <c r="N968" s="14">
        <v>45833</v>
      </c>
      <c r="O968" s="13">
        <v>218.18</v>
      </c>
      <c r="P968" s="16" t="str">
        <f>IF(AND(L968&gt;0,O968&gt;0),(O968-L968)/L968,"")</f>
        <v/>
      </c>
      <c r="Q968" s="18"/>
      <c r="R968" s="18">
        <v>1</v>
      </c>
      <c r="S968" s="10">
        <f>IF(N968&gt;0,TODAY()-N968,"")</f>
        <v>278</v>
      </c>
    </row>
    <row r="969" ht="17" customHeight="1" spans="1:19" x14ac:dyDescent="0.25">
      <c r="A969" s="3" t="s">
        <v>1934</v>
      </c>
      <c r="B969" s="3" t="s">
        <v>1935</v>
      </c>
      <c r="C969" s="3" t="s">
        <v>1960</v>
      </c>
      <c r="D969" s="3" t="s">
        <v>1961</v>
      </c>
      <c r="E969" s="4">
        <v>5</v>
      </c>
      <c r="F969" s="5">
        <v>375</v>
      </c>
      <c r="G969" s="6">
        <v>45727</v>
      </c>
      <c r="H969" s="5">
        <v>375</v>
      </c>
      <c r="I969" s="7" t="s">
        <v>24</v>
      </c>
      <c r="J969" s="5"/>
      <c r="K969" s="8" t="str">
        <f>IF(AND(H969&gt;0,J969&gt;0),(J969-H969)/H969,"")</f>
        <v/>
      </c>
      <c r="L969" s="5"/>
      <c r="M969" s="8" t="str">
        <f>IF(AND(J969&gt;0,L969&gt;0),(L969-J969)/J969,IF(AND(H969&gt;0,L969&gt;0),(L969-H969)/H969,""))</f>
        <v/>
      </c>
      <c r="N969" s="6">
        <v>45727</v>
      </c>
      <c r="O969" s="5">
        <v>375</v>
      </c>
      <c r="P969" s="8" t="str">
        <f>IF(AND(L969&gt;0,O969&gt;0),(O969-L969)/L969,"")</f>
        <v/>
      </c>
      <c r="Q969" s="9"/>
      <c r="R969" s="9">
        <v>1</v>
      </c>
      <c r="S969" s="10">
        <f>IF(N969&gt;0,TODAY()-N969,"")</f>
        <v>384</v>
      </c>
    </row>
    <row r="970" ht="17" customHeight="1" spans="1:19" x14ac:dyDescent="0.25">
      <c r="A970" s="11" t="s">
        <v>1934</v>
      </c>
      <c r="B970" s="11" t="s">
        <v>1935</v>
      </c>
      <c r="C970" s="11" t="s">
        <v>1962</v>
      </c>
      <c r="D970" s="11" t="s">
        <v>1963</v>
      </c>
      <c r="E970" s="12">
        <v>3</v>
      </c>
      <c r="F970" s="13">
        <v>375</v>
      </c>
      <c r="G970" s="14">
        <v>45727</v>
      </c>
      <c r="H970" s="13">
        <v>375</v>
      </c>
      <c r="I970" s="15" t="s">
        <v>24</v>
      </c>
      <c r="J970" s="13"/>
      <c r="K970" s="16" t="str">
        <f>IF(AND(H970&gt;0,J970&gt;0),(J970-H970)/H970,"")</f>
        <v/>
      </c>
      <c r="L970" s="13"/>
      <c r="M970" s="16" t="str">
        <f>IF(AND(J970&gt;0,L970&gt;0),(L970-J970)/J970,IF(AND(H970&gt;0,L970&gt;0),(L970-H970)/H970,""))</f>
        <v/>
      </c>
      <c r="N970" s="14">
        <v>45727</v>
      </c>
      <c r="O970" s="13">
        <v>375</v>
      </c>
      <c r="P970" s="16" t="str">
        <f>IF(AND(L970&gt;0,O970&gt;0),(O970-L970)/L970,"")</f>
        <v/>
      </c>
      <c r="Q970" s="18"/>
      <c r="R970" s="18">
        <v>1</v>
      </c>
      <c r="S970" s="10">
        <f>IF(N970&gt;0,TODAY()-N970,"")</f>
        <v>384</v>
      </c>
    </row>
    <row r="971" ht="17" customHeight="1" spans="1:19" x14ac:dyDescent="0.25">
      <c r="A971" s="3" t="s">
        <v>1934</v>
      </c>
      <c r="B971" s="3" t="s">
        <v>1935</v>
      </c>
      <c r="C971" s="3" t="s">
        <v>1964</v>
      </c>
      <c r="D971" s="3" t="s">
        <v>1965</v>
      </c>
      <c r="E971" s="4">
        <v>2</v>
      </c>
      <c r="F971" s="5">
        <v>34042.020000000004</v>
      </c>
      <c r="G971" s="6">
        <v>45925</v>
      </c>
      <c r="H971" s="5">
        <v>33718.67</v>
      </c>
      <c r="I971" s="7" t="s">
        <v>60</v>
      </c>
      <c r="J971" s="5">
        <v>34365.37</v>
      </c>
      <c r="K971" s="24">
        <f>IF(AND(H971&gt;0,J971&gt;0),(J971-H971)/H971,"")</f>
        <v>0.019179285541215133</v>
      </c>
      <c r="L971" s="5"/>
      <c r="M971" s="8" t="str">
        <f>IF(AND(J971&gt;0,L971&gt;0),(L971-J971)/J971,IF(AND(H971&gt;0,L971&gt;0),(L971-H971)/H971,""))</f>
        <v/>
      </c>
      <c r="N971" s="6">
        <v>45978</v>
      </c>
      <c r="O971" s="5">
        <v>34365.37</v>
      </c>
      <c r="P971" s="8" t="str">
        <f>IF(AND(L971&gt;0,O971&gt;0),(O971-L971)/L971,"")</f>
        <v/>
      </c>
      <c r="Q971" s="9">
        <v>53</v>
      </c>
      <c r="R971" s="9">
        <v>2</v>
      </c>
      <c r="S971" s="21">
        <f>IF(N971&gt;0,TODAY()-N971,"")</f>
        <v>133</v>
      </c>
    </row>
    <row r="972" ht="17" customHeight="1" spans="1:19" x14ac:dyDescent="0.25">
      <c r="A972" s="11" t="s">
        <v>1934</v>
      </c>
      <c r="B972" s="11" t="s">
        <v>1935</v>
      </c>
      <c r="C972" s="11" t="s">
        <v>1966</v>
      </c>
      <c r="D972" s="11" t="s">
        <v>1967</v>
      </c>
      <c r="E972" s="12">
        <v>10</v>
      </c>
      <c r="F972" s="13">
        <v>872.9799999999999</v>
      </c>
      <c r="G972" s="14">
        <v>45925</v>
      </c>
      <c r="H972" s="13">
        <v>864.69</v>
      </c>
      <c r="I972" s="15" t="s">
        <v>60</v>
      </c>
      <c r="J972" s="13">
        <v>881.27</v>
      </c>
      <c r="K972" s="17">
        <f>IF(AND(H972&gt;0,J972&gt;0),(J972-H972)/H972,"")</f>
        <v>0.01917450184459162</v>
      </c>
      <c r="L972" s="13"/>
      <c r="M972" s="16" t="str">
        <f>IF(AND(J972&gt;0,L972&gt;0),(L972-J972)/J972,IF(AND(H972&gt;0,L972&gt;0),(L972-H972)/H972,""))</f>
        <v/>
      </c>
      <c r="N972" s="14">
        <v>45978</v>
      </c>
      <c r="O972" s="13">
        <v>881.27</v>
      </c>
      <c r="P972" s="16" t="str">
        <f>IF(AND(L972&gt;0,O972&gt;0),(O972-L972)/L972,"")</f>
        <v/>
      </c>
      <c r="Q972" s="18">
        <v>53</v>
      </c>
      <c r="R972" s="18">
        <v>2</v>
      </c>
      <c r="S972" s="21">
        <f>IF(N972&gt;0,TODAY()-N972,"")</f>
        <v>133</v>
      </c>
    </row>
    <row r="973" ht="17" customHeight="1" spans="1:19" x14ac:dyDescent="0.25">
      <c r="A973" s="3" t="s">
        <v>1934</v>
      </c>
      <c r="B973" s="3" t="s">
        <v>1935</v>
      </c>
      <c r="C973" s="3" t="s">
        <v>1968</v>
      </c>
      <c r="D973" s="3" t="s">
        <v>1969</v>
      </c>
      <c r="E973" s="4">
        <v>9</v>
      </c>
      <c r="F973" s="5">
        <v>800</v>
      </c>
      <c r="G973" s="6">
        <v>45713</v>
      </c>
      <c r="H973" s="5">
        <v>379.17</v>
      </c>
      <c r="I973" s="7" t="s">
        <v>24</v>
      </c>
      <c r="J973" s="5"/>
      <c r="K973" s="8" t="str">
        <f>IF(AND(H973&gt;0,J973&gt;0),(J973-H973)/H973,"")</f>
        <v/>
      </c>
      <c r="L973" s="5"/>
      <c r="M973" s="8" t="str">
        <f>IF(AND(J973&gt;0,L973&gt;0),(L973-J973)/J973,IF(AND(H973&gt;0,L973&gt;0),(L973-H973)/H973,""))</f>
        <v/>
      </c>
      <c r="N973" s="6">
        <v>45863</v>
      </c>
      <c r="O973" s="5">
        <v>460.42</v>
      </c>
      <c r="P973" s="8" t="str">
        <f>IF(AND(L973&gt;0,O973&gt;0),(O973-L973)/L973,"")</f>
        <v/>
      </c>
      <c r="Q973" s="9">
        <v>50</v>
      </c>
      <c r="R973" s="9">
        <v>4</v>
      </c>
      <c r="S973" s="10">
        <f>IF(N973&gt;0,TODAY()-N973,"")</f>
        <v>248</v>
      </c>
    </row>
    <row r="974" ht="17" customHeight="1" spans="1:19" x14ac:dyDescent="0.25">
      <c r="A974" s="11" t="s">
        <v>1934</v>
      </c>
      <c r="B974" s="11" t="s">
        <v>1935</v>
      </c>
      <c r="C974" s="11" t="s">
        <v>1970</v>
      </c>
      <c r="D974" s="11" t="s">
        <v>1971</v>
      </c>
      <c r="E974" s="12">
        <v>8</v>
      </c>
      <c r="F974" s="13">
        <v>1700</v>
      </c>
      <c r="G974" s="14">
        <v>45706</v>
      </c>
      <c r="H974" s="13">
        <v>1004.54</v>
      </c>
      <c r="I974" s="15" t="s">
        <v>24</v>
      </c>
      <c r="J974" s="13"/>
      <c r="K974" s="16" t="str">
        <f>IF(AND(H974&gt;0,J974&gt;0),(J974-H974)/H974,"")</f>
        <v/>
      </c>
      <c r="L974" s="13"/>
      <c r="M974" s="16" t="str">
        <f>IF(AND(J974&gt;0,L974&gt;0),(L974-J974)/J974,IF(AND(H974&gt;0,L974&gt;0),(L974-H974)/H974,""))</f>
        <v/>
      </c>
      <c r="N974" s="14">
        <v>45800</v>
      </c>
      <c r="O974" s="13">
        <v>1004.54</v>
      </c>
      <c r="P974" s="16" t="str">
        <f>IF(AND(L974&gt;0,O974&gt;0),(O974-L974)/L974,"")</f>
        <v/>
      </c>
      <c r="Q974" s="18">
        <v>31</v>
      </c>
      <c r="R974" s="18">
        <v>4</v>
      </c>
      <c r="S974" s="10">
        <f>IF(N974&gt;0,TODAY()-N974,"")</f>
        <v>311</v>
      </c>
    </row>
    <row r="975" ht="17" customHeight="1" spans="1:19" x14ac:dyDescent="0.25">
      <c r="A975" s="3" t="s">
        <v>1934</v>
      </c>
      <c r="B975" s="3" t="s">
        <v>1935</v>
      </c>
      <c r="C975" s="3" t="s">
        <v>1972</v>
      </c>
      <c r="D975" s="3" t="s">
        <v>1973</v>
      </c>
      <c r="E975" s="4">
        <v>19</v>
      </c>
      <c r="F975" s="5">
        <v>2300</v>
      </c>
      <c r="G975" s="6">
        <v>45706</v>
      </c>
      <c r="H975" s="5">
        <v>1359.09</v>
      </c>
      <c r="I975" s="7" t="s">
        <v>24</v>
      </c>
      <c r="J975" s="5"/>
      <c r="K975" s="8" t="str">
        <f>IF(AND(H975&gt;0,J975&gt;0),(J975-H975)/H975,"")</f>
        <v/>
      </c>
      <c r="L975" s="5"/>
      <c r="M975" s="8" t="str">
        <f>IF(AND(J975&gt;0,L975&gt;0),(L975-J975)/J975,IF(AND(H975&gt;0,L975&gt;0),(L975-H975)/H975,""))</f>
        <v/>
      </c>
      <c r="N975" s="6">
        <v>45824</v>
      </c>
      <c r="O975" s="5">
        <v>1359.09</v>
      </c>
      <c r="P975" s="8" t="str">
        <f>IF(AND(L975&gt;0,O975&gt;0),(O975-L975)/L975,"")</f>
        <v/>
      </c>
      <c r="Q975" s="9">
        <v>15</v>
      </c>
      <c r="R975" s="9">
        <v>9</v>
      </c>
      <c r="S975" s="10">
        <f>IF(N975&gt;0,TODAY()-N975,"")</f>
        <v>287</v>
      </c>
    </row>
    <row r="976" ht="17" customHeight="1" spans="1:19" x14ac:dyDescent="0.25">
      <c r="A976" s="11" t="s">
        <v>1934</v>
      </c>
      <c r="B976" s="11" t="s">
        <v>1935</v>
      </c>
      <c r="C976" s="11" t="s">
        <v>1974</v>
      </c>
      <c r="D976" s="11" t="s">
        <v>1975</v>
      </c>
      <c r="E976" s="12">
        <v>1</v>
      </c>
      <c r="F976" s="13">
        <v>3250</v>
      </c>
      <c r="G976" s="14">
        <v>45698</v>
      </c>
      <c r="H976" s="13">
        <v>1920.45</v>
      </c>
      <c r="I976" s="15" t="s">
        <v>24</v>
      </c>
      <c r="J976" s="13"/>
      <c r="K976" s="16" t="str">
        <f>IF(AND(H976&gt;0,J976&gt;0),(J976-H976)/H976,"")</f>
        <v/>
      </c>
      <c r="L976" s="13"/>
      <c r="M976" s="16" t="str">
        <f>IF(AND(J976&gt;0,L976&gt;0),(L976-J976)/J976,IF(AND(H976&gt;0,L976&gt;0),(L976-H976)/H976,""))</f>
        <v/>
      </c>
      <c r="N976" s="14">
        <v>45698</v>
      </c>
      <c r="O976" s="13">
        <v>1920.45</v>
      </c>
      <c r="P976" s="16" t="str">
        <f>IF(AND(L976&gt;0,O976&gt;0),(O976-L976)/L976,"")</f>
        <v/>
      </c>
      <c r="Q976" s="18"/>
      <c r="R976" s="18">
        <v>1</v>
      </c>
      <c r="S976" s="10">
        <f>IF(N976&gt;0,TODAY()-N976,"")</f>
        <v>413</v>
      </c>
    </row>
    <row r="977" ht="17" customHeight="1" spans="1:19" x14ac:dyDescent="0.25">
      <c r="A977" s="3" t="s">
        <v>1934</v>
      </c>
      <c r="B977" s="3" t="s">
        <v>1935</v>
      </c>
      <c r="C977" s="3" t="s">
        <v>1976</v>
      </c>
      <c r="D977" s="3" t="s">
        <v>1977</v>
      </c>
      <c r="E977" s="4">
        <v>1</v>
      </c>
      <c r="F977" s="5">
        <v>950</v>
      </c>
      <c r="G977" s="6">
        <v>45754</v>
      </c>
      <c r="H977" s="5">
        <v>514.58</v>
      </c>
      <c r="I977" s="7" t="s">
        <v>24</v>
      </c>
      <c r="J977" s="5"/>
      <c r="K977" s="8" t="str">
        <f>IF(AND(H977&gt;0,J977&gt;0),(J977-H977)/H977,"")</f>
        <v/>
      </c>
      <c r="L977" s="5"/>
      <c r="M977" s="8" t="str">
        <f>IF(AND(J977&gt;0,L977&gt;0),(L977-J977)/J977,IF(AND(H977&gt;0,L977&gt;0),(L977-H977)/H977,""))</f>
        <v/>
      </c>
      <c r="N977" s="6">
        <v>45754</v>
      </c>
      <c r="O977" s="5">
        <v>514.58</v>
      </c>
      <c r="P977" s="8" t="str">
        <f>IF(AND(L977&gt;0,O977&gt;0),(O977-L977)/L977,"")</f>
        <v/>
      </c>
      <c r="Q977" s="9"/>
      <c r="R977" s="9">
        <v>1</v>
      </c>
      <c r="S977" s="10">
        <f>IF(N977&gt;0,TODAY()-N977,"")</f>
        <v>357</v>
      </c>
    </row>
    <row r="978" ht="17" customHeight="1" spans="1:19" x14ac:dyDescent="0.25">
      <c r="A978" s="11" t="s">
        <v>1934</v>
      </c>
      <c r="B978" s="11" t="s">
        <v>1935</v>
      </c>
      <c r="C978" s="11" t="s">
        <v>1978</v>
      </c>
      <c r="D978" s="11" t="s">
        <v>1979</v>
      </c>
      <c r="E978" s="12">
        <v>1</v>
      </c>
      <c r="F978" s="13">
        <v>800</v>
      </c>
      <c r="G978" s="14">
        <v>45754</v>
      </c>
      <c r="H978" s="13">
        <v>433.33</v>
      </c>
      <c r="I978" s="15" t="s">
        <v>24</v>
      </c>
      <c r="J978" s="13"/>
      <c r="K978" s="16" t="str">
        <f>IF(AND(H978&gt;0,J978&gt;0),(J978-H978)/H978,"")</f>
        <v/>
      </c>
      <c r="L978" s="13"/>
      <c r="M978" s="16" t="str">
        <f>IF(AND(J978&gt;0,L978&gt;0),(L978-J978)/J978,IF(AND(H978&gt;0,L978&gt;0),(L978-H978)/H978,""))</f>
        <v/>
      </c>
      <c r="N978" s="14">
        <v>45754</v>
      </c>
      <c r="O978" s="13">
        <v>433.33</v>
      </c>
      <c r="P978" s="16" t="str">
        <f>IF(AND(L978&gt;0,O978&gt;0),(O978-L978)/L978,"")</f>
        <v/>
      </c>
      <c r="Q978" s="18"/>
      <c r="R978" s="18">
        <v>1</v>
      </c>
      <c r="S978" s="10">
        <f>IF(N978&gt;0,TODAY()-N978,"")</f>
        <v>357</v>
      </c>
    </row>
    <row r="979" ht="17" customHeight="1" spans="1:19" x14ac:dyDescent="0.25">
      <c r="A979" s="3" t="s">
        <v>1934</v>
      </c>
      <c r="B979" s="3" t="s">
        <v>1935</v>
      </c>
      <c r="C979" s="3" t="s">
        <v>1980</v>
      </c>
      <c r="D979" s="3" t="s">
        <v>1981</v>
      </c>
      <c r="E979" s="4">
        <v>1</v>
      </c>
      <c r="F979" s="5">
        <v>950</v>
      </c>
      <c r="G979" s="6">
        <v>45713</v>
      </c>
      <c r="H979" s="5">
        <v>514.58</v>
      </c>
      <c r="I979" s="7" t="s">
        <v>24</v>
      </c>
      <c r="J979" s="5"/>
      <c r="K979" s="8" t="str">
        <f>IF(AND(H979&gt;0,J979&gt;0),(J979-H979)/H979,"")</f>
        <v/>
      </c>
      <c r="L979" s="5"/>
      <c r="M979" s="8" t="str">
        <f>IF(AND(J979&gt;0,L979&gt;0),(L979-J979)/J979,IF(AND(H979&gt;0,L979&gt;0),(L979-H979)/H979,""))</f>
        <v/>
      </c>
      <c r="N979" s="6">
        <v>45713</v>
      </c>
      <c r="O979" s="5">
        <v>514.58</v>
      </c>
      <c r="P979" s="8" t="str">
        <f>IF(AND(L979&gt;0,O979&gt;0),(O979-L979)/L979,"")</f>
        <v/>
      </c>
      <c r="Q979" s="9"/>
      <c r="R979" s="9">
        <v>1</v>
      </c>
      <c r="S979" s="10">
        <f>IF(N979&gt;0,TODAY()-N979,"")</f>
        <v>398</v>
      </c>
    </row>
    <row r="980" ht="17" customHeight="1" spans="1:19" x14ac:dyDescent="0.25">
      <c r="A980" s="11" t="s">
        <v>1934</v>
      </c>
      <c r="B980" s="11" t="s">
        <v>1935</v>
      </c>
      <c r="C980" s="11" t="s">
        <v>1982</v>
      </c>
      <c r="D980" s="11" t="s">
        <v>1983</v>
      </c>
      <c r="E980" s="12">
        <v>2</v>
      </c>
      <c r="F980" s="13">
        <v>900</v>
      </c>
      <c r="G980" s="14">
        <v>45848</v>
      </c>
      <c r="H980" s="13">
        <v>487.5</v>
      </c>
      <c r="I980" s="15" t="s">
        <v>24</v>
      </c>
      <c r="J980" s="13"/>
      <c r="K980" s="16" t="str">
        <f>IF(AND(H980&gt;0,J980&gt;0),(J980-H980)/H980,"")</f>
        <v/>
      </c>
      <c r="L980" s="13"/>
      <c r="M980" s="16" t="str">
        <f>IF(AND(J980&gt;0,L980&gt;0),(L980-J980)/J980,IF(AND(H980&gt;0,L980&gt;0),(L980-H980)/H980,""))</f>
        <v/>
      </c>
      <c r="N980" s="14">
        <v>45848</v>
      </c>
      <c r="O980" s="13">
        <v>487.5</v>
      </c>
      <c r="P980" s="16" t="str">
        <f>IF(AND(L980&gt;0,O980&gt;0),(O980-L980)/L980,"")</f>
        <v/>
      </c>
      <c r="Q980" s="18"/>
      <c r="R980" s="18">
        <v>1</v>
      </c>
      <c r="S980" s="10">
        <f>IF(N980&gt;0,TODAY()-N980,"")</f>
        <v>263</v>
      </c>
    </row>
    <row r="981" ht="17" customHeight="1" spans="1:19" x14ac:dyDescent="0.25">
      <c r="A981" s="3" t="s">
        <v>1934</v>
      </c>
      <c r="B981" s="3" t="s">
        <v>1935</v>
      </c>
      <c r="C981" s="3" t="s">
        <v>1984</v>
      </c>
      <c r="D981" s="3" t="s">
        <v>1985</v>
      </c>
      <c r="E981" s="4">
        <v>3</v>
      </c>
      <c r="F981" s="5">
        <v>1100</v>
      </c>
      <c r="G981" s="6">
        <v>45713</v>
      </c>
      <c r="H981" s="5">
        <v>595.83</v>
      </c>
      <c r="I981" s="7" t="s">
        <v>24</v>
      </c>
      <c r="J981" s="5"/>
      <c r="K981" s="8" t="str">
        <f>IF(AND(H981&gt;0,J981&gt;0),(J981-H981)/H981,"")</f>
        <v/>
      </c>
      <c r="L981" s="5"/>
      <c r="M981" s="8" t="str">
        <f>IF(AND(J981&gt;0,L981&gt;0),(L981-J981)/J981,IF(AND(H981&gt;0,L981&gt;0),(L981-H981)/H981,""))</f>
        <v/>
      </c>
      <c r="N981" s="6">
        <v>45818</v>
      </c>
      <c r="O981" s="5">
        <v>595.83</v>
      </c>
      <c r="P981" s="8" t="str">
        <f>IF(AND(L981&gt;0,O981&gt;0),(O981-L981)/L981,"")</f>
        <v/>
      </c>
      <c r="Q981" s="9">
        <v>53</v>
      </c>
      <c r="R981" s="9">
        <v>3</v>
      </c>
      <c r="S981" s="10">
        <f>IF(N981&gt;0,TODAY()-N981,"")</f>
        <v>293</v>
      </c>
    </row>
    <row r="982" ht="17" customHeight="1" spans="1:19" x14ac:dyDescent="0.25">
      <c r="A982" s="11" t="s">
        <v>1934</v>
      </c>
      <c r="B982" s="11" t="s">
        <v>1935</v>
      </c>
      <c r="C982" s="11" t="s">
        <v>1986</v>
      </c>
      <c r="D982" s="11" t="s">
        <v>1987</v>
      </c>
      <c r="E982" s="12">
        <v>3</v>
      </c>
      <c r="F982" s="13">
        <v>1100</v>
      </c>
      <c r="G982" s="14">
        <v>45762</v>
      </c>
      <c r="H982" s="13">
        <v>595.83</v>
      </c>
      <c r="I982" s="15" t="s">
        <v>24</v>
      </c>
      <c r="J982" s="13"/>
      <c r="K982" s="16" t="str">
        <f>IF(AND(H982&gt;0,J982&gt;0),(J982-H982)/H982,"")</f>
        <v/>
      </c>
      <c r="L982" s="13"/>
      <c r="M982" s="16" t="str">
        <f>IF(AND(J982&gt;0,L982&gt;0),(L982-J982)/J982,IF(AND(H982&gt;0,L982&gt;0),(L982-H982)/H982,""))</f>
        <v/>
      </c>
      <c r="N982" s="14">
        <v>45805</v>
      </c>
      <c r="O982" s="13">
        <v>595.83</v>
      </c>
      <c r="P982" s="16" t="str">
        <f>IF(AND(L982&gt;0,O982&gt;0),(O982-L982)/L982,"")</f>
        <v/>
      </c>
      <c r="Q982" s="18">
        <v>22</v>
      </c>
      <c r="R982" s="18">
        <v>3</v>
      </c>
      <c r="S982" s="10">
        <f>IF(N982&gt;0,TODAY()-N982,"")</f>
        <v>306</v>
      </c>
    </row>
    <row r="983" ht="17" customHeight="1" spans="1:19" x14ac:dyDescent="0.25">
      <c r="A983" s="3" t="s">
        <v>1934</v>
      </c>
      <c r="B983" s="3" t="s">
        <v>1935</v>
      </c>
      <c r="C983" s="3" t="s">
        <v>1988</v>
      </c>
      <c r="D983" s="3" t="s">
        <v>1989</v>
      </c>
      <c r="E983" s="4">
        <v>3</v>
      </c>
      <c r="F983" s="5">
        <v>850</v>
      </c>
      <c r="G983" s="6">
        <v>45769</v>
      </c>
      <c r="H983" s="5">
        <v>460.42</v>
      </c>
      <c r="I983" s="7" t="s">
        <v>24</v>
      </c>
      <c r="J983" s="5"/>
      <c r="K983" s="8" t="str">
        <f>IF(AND(H983&gt;0,J983&gt;0),(J983-H983)/H983,"")</f>
        <v/>
      </c>
      <c r="L983" s="5"/>
      <c r="M983" s="8" t="str">
        <f>IF(AND(J983&gt;0,L983&gt;0),(L983-J983)/J983,IF(AND(H983&gt;0,L983&gt;0),(L983-H983)/H983,""))</f>
        <v/>
      </c>
      <c r="N983" s="6">
        <v>45824</v>
      </c>
      <c r="O983" s="5">
        <v>460.42</v>
      </c>
      <c r="P983" s="8" t="str">
        <f>IF(AND(L983&gt;0,O983&gt;0),(O983-L983)/L983,"")</f>
        <v/>
      </c>
      <c r="Q983" s="9">
        <v>28</v>
      </c>
      <c r="R983" s="9">
        <v>3</v>
      </c>
      <c r="S983" s="10">
        <f>IF(N983&gt;0,TODAY()-N983,"")</f>
        <v>287</v>
      </c>
    </row>
    <row r="984" ht="17" customHeight="1" spans="1:19" x14ac:dyDescent="0.25">
      <c r="A984" s="11" t="s">
        <v>1934</v>
      </c>
      <c r="B984" s="11" t="s">
        <v>1935</v>
      </c>
      <c r="C984" s="11" t="s">
        <v>1990</v>
      </c>
      <c r="D984" s="11" t="s">
        <v>1991</v>
      </c>
      <c r="E984" s="12">
        <v>2</v>
      </c>
      <c r="F984" s="13">
        <v>2000</v>
      </c>
      <c r="G984" s="14">
        <v>45848</v>
      </c>
      <c r="H984" s="13">
        <v>1083.33</v>
      </c>
      <c r="I984" s="15" t="s">
        <v>24</v>
      </c>
      <c r="J984" s="13"/>
      <c r="K984" s="16" t="str">
        <f>IF(AND(H984&gt;0,J984&gt;0),(J984-H984)/H984,"")</f>
        <v/>
      </c>
      <c r="L984" s="13"/>
      <c r="M984" s="16" t="str">
        <f>IF(AND(J984&gt;0,L984&gt;0),(L984-J984)/J984,IF(AND(H984&gt;0,L984&gt;0),(L984-H984)/H984,""))</f>
        <v/>
      </c>
      <c r="N984" s="14">
        <v>45848</v>
      </c>
      <c r="O984" s="13">
        <v>1083.33</v>
      </c>
      <c r="P984" s="16" t="str">
        <f>IF(AND(L984&gt;0,O984&gt;0),(O984-L984)/L984,"")</f>
        <v/>
      </c>
      <c r="Q984" s="18"/>
      <c r="R984" s="18">
        <v>1</v>
      </c>
      <c r="S984" s="10">
        <f>IF(N984&gt;0,TODAY()-N984,"")</f>
        <v>263</v>
      </c>
    </row>
    <row r="985" ht="17" customHeight="1" spans="1:19" x14ac:dyDescent="0.25">
      <c r="A985" s="3" t="s">
        <v>1934</v>
      </c>
      <c r="B985" s="3" t="s">
        <v>1935</v>
      </c>
      <c r="C985" s="3" t="s">
        <v>1992</v>
      </c>
      <c r="D985" s="3" t="s">
        <v>1993</v>
      </c>
      <c r="E985" s="4">
        <v>3</v>
      </c>
      <c r="F985" s="5">
        <v>575</v>
      </c>
      <c r="G985" s="6">
        <v>45713</v>
      </c>
      <c r="H985" s="5">
        <v>284.38</v>
      </c>
      <c r="I985" s="7" t="s">
        <v>24</v>
      </c>
      <c r="J985" s="5"/>
      <c r="K985" s="8" t="str">
        <f>IF(AND(H985&gt;0,J985&gt;0),(J985-H985)/H985,"")</f>
        <v/>
      </c>
      <c r="L985" s="5"/>
      <c r="M985" s="8" t="str">
        <f>IF(AND(J985&gt;0,L985&gt;0),(L985-J985)/J985,IF(AND(H985&gt;0,L985&gt;0),(L985-H985)/H985,""))</f>
        <v/>
      </c>
      <c r="N985" s="6">
        <v>45848</v>
      </c>
      <c r="O985" s="5">
        <v>325</v>
      </c>
      <c r="P985" s="8" t="str">
        <f>IF(AND(L985&gt;0,O985&gt;0),(O985-L985)/L985,"")</f>
        <v/>
      </c>
      <c r="Q985" s="9">
        <v>135</v>
      </c>
      <c r="R985" s="9">
        <v>2</v>
      </c>
      <c r="S985" s="10">
        <f>IF(N985&gt;0,TODAY()-N985,"")</f>
        <v>263</v>
      </c>
    </row>
    <row r="986" ht="17" customHeight="1" spans="1:19" x14ac:dyDescent="0.25">
      <c r="A986" s="11" t="s">
        <v>1934</v>
      </c>
      <c r="B986" s="11" t="s">
        <v>1935</v>
      </c>
      <c r="C986" s="11" t="s">
        <v>1994</v>
      </c>
      <c r="D986" s="11" t="s">
        <v>1995</v>
      </c>
      <c r="E986" s="12">
        <v>29</v>
      </c>
      <c r="F986" s="13">
        <v>600</v>
      </c>
      <c r="G986" s="14">
        <v>45671</v>
      </c>
      <c r="H986" s="13">
        <v>325</v>
      </c>
      <c r="I986" s="15" t="s">
        <v>24</v>
      </c>
      <c r="J986" s="13"/>
      <c r="K986" s="16" t="str">
        <f>IF(AND(H986&gt;0,J986&gt;0),(J986-H986)/H986,"")</f>
        <v/>
      </c>
      <c r="L986" s="13"/>
      <c r="M986" s="16" t="str">
        <f>IF(AND(J986&gt;0,L986&gt;0),(L986-J986)/J986,IF(AND(H986&gt;0,L986&gt;0),(L986-H986)/H986,""))</f>
        <v/>
      </c>
      <c r="N986" s="14">
        <v>45769</v>
      </c>
      <c r="O986" s="13">
        <v>325</v>
      </c>
      <c r="P986" s="16" t="str">
        <f>IF(AND(L986&gt;0,O986&gt;0),(O986-L986)/L986,"")</f>
        <v/>
      </c>
      <c r="Q986" s="18">
        <v>25</v>
      </c>
      <c r="R986" s="18">
        <v>5</v>
      </c>
      <c r="S986" s="10">
        <f>IF(N986&gt;0,TODAY()-N986,"")</f>
        <v>342</v>
      </c>
    </row>
    <row r="987" ht="17" customHeight="1" spans="1:19" x14ac:dyDescent="0.25">
      <c r="A987" s="3" t="s">
        <v>1934</v>
      </c>
      <c r="B987" s="3" t="s">
        <v>1935</v>
      </c>
      <c r="C987" s="3" t="s">
        <v>1996</v>
      </c>
      <c r="D987" s="3" t="s">
        <v>1997</v>
      </c>
      <c r="E987" s="4">
        <v>2</v>
      </c>
      <c r="F987" s="5">
        <v>350</v>
      </c>
      <c r="G987" s="6">
        <v>45848</v>
      </c>
      <c r="H987" s="5">
        <v>189.58</v>
      </c>
      <c r="I987" s="7" t="s">
        <v>24</v>
      </c>
      <c r="J987" s="5"/>
      <c r="K987" s="8" t="str">
        <f>IF(AND(H987&gt;0,J987&gt;0),(J987-H987)/H987,"")</f>
        <v/>
      </c>
      <c r="L987" s="5"/>
      <c r="M987" s="8" t="str">
        <f>IF(AND(J987&gt;0,L987&gt;0),(L987-J987)/J987,IF(AND(H987&gt;0,L987&gt;0),(L987-H987)/H987,""))</f>
        <v/>
      </c>
      <c r="N987" s="6">
        <v>45848</v>
      </c>
      <c r="O987" s="5">
        <v>189.58</v>
      </c>
      <c r="P987" s="8" t="str">
        <f>IF(AND(L987&gt;0,O987&gt;0),(O987-L987)/L987,"")</f>
        <v/>
      </c>
      <c r="Q987" s="9"/>
      <c r="R987" s="9">
        <v>1</v>
      </c>
      <c r="S987" s="10">
        <f>IF(N987&gt;0,TODAY()-N987,"")</f>
        <v>263</v>
      </c>
    </row>
    <row r="988" ht="17" customHeight="1" spans="1:19" x14ac:dyDescent="0.25">
      <c r="A988" s="11" t="s">
        <v>1934</v>
      </c>
      <c r="B988" s="11" t="s">
        <v>1935</v>
      </c>
      <c r="C988" s="11" t="s">
        <v>1998</v>
      </c>
      <c r="D988" s="11" t="s">
        <v>1999</v>
      </c>
      <c r="E988" s="12">
        <v>1</v>
      </c>
      <c r="F988" s="13">
        <v>2000</v>
      </c>
      <c r="G988" s="14">
        <v>45713</v>
      </c>
      <c r="H988" s="13">
        <v>1083.33</v>
      </c>
      <c r="I988" s="15" t="s">
        <v>24</v>
      </c>
      <c r="J988" s="13"/>
      <c r="K988" s="16" t="str">
        <f>IF(AND(H988&gt;0,J988&gt;0),(J988-H988)/H988,"")</f>
        <v/>
      </c>
      <c r="L988" s="13"/>
      <c r="M988" s="16" t="str">
        <f>IF(AND(J988&gt;0,L988&gt;0),(L988-J988)/J988,IF(AND(H988&gt;0,L988&gt;0),(L988-H988)/H988,""))</f>
        <v/>
      </c>
      <c r="N988" s="14">
        <v>45713</v>
      </c>
      <c r="O988" s="13">
        <v>1083.33</v>
      </c>
      <c r="P988" s="16" t="str">
        <f>IF(AND(L988&gt;0,O988&gt;0),(O988-L988)/L988,"")</f>
        <v/>
      </c>
      <c r="Q988" s="18"/>
      <c r="R988" s="18">
        <v>1</v>
      </c>
      <c r="S988" s="10">
        <f>IF(N988&gt;0,TODAY()-N988,"")</f>
        <v>398</v>
      </c>
    </row>
    <row r="989" ht="17" customHeight="1" spans="1:19" x14ac:dyDescent="0.25">
      <c r="A989" s="3" t="s">
        <v>1934</v>
      </c>
      <c r="B989" s="3" t="s">
        <v>1935</v>
      </c>
      <c r="C989" s="3" t="s">
        <v>2000</v>
      </c>
      <c r="D989" s="3" t="s">
        <v>2001</v>
      </c>
      <c r="E989" s="4">
        <v>2</v>
      </c>
      <c r="F989" s="5">
        <v>700</v>
      </c>
      <c r="G989" s="6">
        <v>45680</v>
      </c>
      <c r="H989" s="5">
        <v>379.16</v>
      </c>
      <c r="I989" s="7" t="s">
        <v>24</v>
      </c>
      <c r="J989" s="5"/>
      <c r="K989" s="8" t="str">
        <f>IF(AND(H989&gt;0,J989&gt;0),(J989-H989)/H989,"")</f>
        <v/>
      </c>
      <c r="L989" s="5"/>
      <c r="M989" s="8" t="str">
        <f>IF(AND(J989&gt;0,L989&gt;0),(L989-J989)/J989,IF(AND(H989&gt;0,L989&gt;0),(L989-H989)/H989,""))</f>
        <v/>
      </c>
      <c r="N989" s="6">
        <v>45754</v>
      </c>
      <c r="O989" s="5">
        <v>379.17</v>
      </c>
      <c r="P989" s="8" t="str">
        <f>IF(AND(L989&gt;0,O989&gt;0),(O989-L989)/L989,"")</f>
        <v/>
      </c>
      <c r="Q989" s="9">
        <v>74</v>
      </c>
      <c r="R989" s="9">
        <v>2</v>
      </c>
      <c r="S989" s="10">
        <f>IF(N989&gt;0,TODAY()-N989,"")</f>
        <v>357</v>
      </c>
    </row>
    <row r="990" ht="17" customHeight="1" spans="1:19" x14ac:dyDescent="0.25">
      <c r="A990" s="11" t="s">
        <v>1934</v>
      </c>
      <c r="B990" s="11" t="s">
        <v>1935</v>
      </c>
      <c r="C990" s="11" t="s">
        <v>2002</v>
      </c>
      <c r="D990" s="11" t="s">
        <v>2003</v>
      </c>
      <c r="E990" s="12">
        <v>1</v>
      </c>
      <c r="F990" s="13">
        <v>800</v>
      </c>
      <c r="G990" s="14">
        <v>45713</v>
      </c>
      <c r="H990" s="13">
        <v>433.33</v>
      </c>
      <c r="I990" s="15" t="s">
        <v>24</v>
      </c>
      <c r="J990" s="13"/>
      <c r="K990" s="16" t="str">
        <f>IF(AND(H990&gt;0,J990&gt;0),(J990-H990)/H990,"")</f>
        <v/>
      </c>
      <c r="L990" s="13"/>
      <c r="M990" s="16" t="str">
        <f>IF(AND(J990&gt;0,L990&gt;0),(L990-J990)/J990,IF(AND(H990&gt;0,L990&gt;0),(L990-H990)/H990,""))</f>
        <v/>
      </c>
      <c r="N990" s="14">
        <v>45713</v>
      </c>
      <c r="O990" s="13">
        <v>433.33</v>
      </c>
      <c r="P990" s="16" t="str">
        <f>IF(AND(L990&gt;0,O990&gt;0),(O990-L990)/L990,"")</f>
        <v/>
      </c>
      <c r="Q990" s="18"/>
      <c r="R990" s="18">
        <v>1</v>
      </c>
      <c r="S990" s="10">
        <f>IF(N990&gt;0,TODAY()-N990,"")</f>
        <v>398</v>
      </c>
    </row>
    <row r="991" ht="17" customHeight="1" spans="1:19" x14ac:dyDescent="0.25">
      <c r="A991" s="3" t="s">
        <v>1934</v>
      </c>
      <c r="B991" s="3" t="s">
        <v>1935</v>
      </c>
      <c r="C991" s="3" t="s">
        <v>2004</v>
      </c>
      <c r="D991" s="3" t="s">
        <v>2005</v>
      </c>
      <c r="E991" s="4">
        <v>4</v>
      </c>
      <c r="F991" s="5">
        <v>900</v>
      </c>
      <c r="G991" s="6">
        <v>45713</v>
      </c>
      <c r="H991" s="5">
        <v>531.82</v>
      </c>
      <c r="I991" s="7" t="s">
        <v>24</v>
      </c>
      <c r="J991" s="5"/>
      <c r="K991" s="8" t="str">
        <f>IF(AND(H991&gt;0,J991&gt;0),(J991-H991)/H991,"")</f>
        <v/>
      </c>
      <c r="L991" s="5"/>
      <c r="M991" s="8" t="str">
        <f>IF(AND(J991&gt;0,L991&gt;0),(L991-J991)/J991,IF(AND(H991&gt;0,L991&gt;0),(L991-H991)/H991,""))</f>
        <v/>
      </c>
      <c r="N991" s="6">
        <v>45800</v>
      </c>
      <c r="O991" s="5">
        <v>531.82</v>
      </c>
      <c r="P991" s="8" t="str">
        <f>IF(AND(L991&gt;0,O991&gt;0),(O991-L991)/L991,"")</f>
        <v/>
      </c>
      <c r="Q991" s="9">
        <v>87</v>
      </c>
      <c r="R991" s="9">
        <v>2</v>
      </c>
      <c r="S991" s="10">
        <f>IF(N991&gt;0,TODAY()-N991,"")</f>
        <v>311</v>
      </c>
    </row>
    <row r="992" ht="17" customHeight="1" spans="1:19" x14ac:dyDescent="0.25">
      <c r="A992" s="11" t="s">
        <v>1934</v>
      </c>
      <c r="B992" s="11" t="s">
        <v>1935</v>
      </c>
      <c r="C992" s="11" t="s">
        <v>2006</v>
      </c>
      <c r="D992" s="11" t="s">
        <v>2007</v>
      </c>
      <c r="E992" s="12">
        <v>3</v>
      </c>
      <c r="F992" s="13">
        <v>350</v>
      </c>
      <c r="G992" s="14">
        <v>45848</v>
      </c>
      <c r="H992" s="13">
        <v>189.58</v>
      </c>
      <c r="I992" s="15" t="s">
        <v>24</v>
      </c>
      <c r="J992" s="13"/>
      <c r="K992" s="16" t="str">
        <f>IF(AND(H992&gt;0,J992&gt;0),(J992-H992)/H992,"")</f>
        <v/>
      </c>
      <c r="L992" s="13"/>
      <c r="M992" s="16" t="str">
        <f>IF(AND(J992&gt;0,L992&gt;0),(L992-J992)/J992,IF(AND(H992&gt;0,L992&gt;0),(L992-H992)/H992,""))</f>
        <v/>
      </c>
      <c r="N992" s="14">
        <v>45863</v>
      </c>
      <c r="O992" s="13">
        <v>189.58</v>
      </c>
      <c r="P992" s="16" t="str">
        <f>IF(AND(L992&gt;0,O992&gt;0),(O992-L992)/L992,"")</f>
        <v/>
      </c>
      <c r="Q992" s="18">
        <v>15</v>
      </c>
      <c r="R992" s="18">
        <v>2</v>
      </c>
      <c r="S992" s="10">
        <f>IF(N992&gt;0,TODAY()-N992,"")</f>
        <v>248</v>
      </c>
    </row>
    <row r="993" ht="17" customHeight="1" spans="1:19" x14ac:dyDescent="0.25">
      <c r="A993" s="3" t="s">
        <v>1934</v>
      </c>
      <c r="B993" s="3" t="s">
        <v>1935</v>
      </c>
      <c r="C993" s="3" t="s">
        <v>2008</v>
      </c>
      <c r="D993" s="3" t="s">
        <v>2009</v>
      </c>
      <c r="E993" s="4">
        <v>1</v>
      </c>
      <c r="F993" s="5">
        <v>700</v>
      </c>
      <c r="G993" s="6">
        <v>45845</v>
      </c>
      <c r="H993" s="5">
        <v>379.17</v>
      </c>
      <c r="I993" s="7" t="s">
        <v>24</v>
      </c>
      <c r="J993" s="5"/>
      <c r="K993" s="8" t="str">
        <f>IF(AND(H993&gt;0,J993&gt;0),(J993-H993)/H993,"")</f>
        <v/>
      </c>
      <c r="L993" s="5"/>
      <c r="M993" s="8" t="str">
        <f>IF(AND(J993&gt;0,L993&gt;0),(L993-J993)/J993,IF(AND(H993&gt;0,L993&gt;0),(L993-H993)/H993,""))</f>
        <v/>
      </c>
      <c r="N993" s="6">
        <v>45845</v>
      </c>
      <c r="O993" s="5">
        <v>379.17</v>
      </c>
      <c r="P993" s="8" t="str">
        <f>IF(AND(L993&gt;0,O993&gt;0),(O993-L993)/L993,"")</f>
        <v/>
      </c>
      <c r="Q993" s="9"/>
      <c r="R993" s="9">
        <v>1</v>
      </c>
      <c r="S993" s="10">
        <f>IF(N993&gt;0,TODAY()-N993,"")</f>
        <v>266</v>
      </c>
    </row>
    <row r="994" ht="17" customHeight="1" spans="1:19" x14ac:dyDescent="0.25">
      <c r="A994" s="11" t="s">
        <v>1934</v>
      </c>
      <c r="B994" s="11" t="s">
        <v>1935</v>
      </c>
      <c r="C994" s="11" t="s">
        <v>2010</v>
      </c>
      <c r="D994" s="11" t="s">
        <v>2011</v>
      </c>
      <c r="E994" s="12">
        <v>5</v>
      </c>
      <c r="F994" s="13">
        <v>900</v>
      </c>
      <c r="G994" s="14">
        <v>45800</v>
      </c>
      <c r="H994" s="13">
        <v>531.82</v>
      </c>
      <c r="I994" s="15" t="s">
        <v>24</v>
      </c>
      <c r="J994" s="13"/>
      <c r="K994" s="16" t="str">
        <f>IF(AND(H994&gt;0,J994&gt;0),(J994-H994)/H994,"")</f>
        <v/>
      </c>
      <c r="L994" s="13"/>
      <c r="M994" s="16" t="str">
        <f>IF(AND(J994&gt;0,L994&gt;0),(L994-J994)/J994,IF(AND(H994&gt;0,L994&gt;0),(L994-H994)/H994,""))</f>
        <v/>
      </c>
      <c r="N994" s="14">
        <v>45818</v>
      </c>
      <c r="O994" s="13">
        <v>531.82</v>
      </c>
      <c r="P994" s="16" t="str">
        <f>IF(AND(L994&gt;0,O994&gt;0),(O994-L994)/L994,"")</f>
        <v/>
      </c>
      <c r="Q994" s="18">
        <v>18</v>
      </c>
      <c r="R994" s="18">
        <v>2</v>
      </c>
      <c r="S994" s="10">
        <f>IF(N994&gt;0,TODAY()-N994,"")</f>
        <v>293</v>
      </c>
    </row>
    <row r="995" ht="17" customHeight="1" spans="1:19" x14ac:dyDescent="0.25">
      <c r="A995" s="3" t="s">
        <v>1934</v>
      </c>
      <c r="B995" s="3" t="s">
        <v>1935</v>
      </c>
      <c r="C995" s="3" t="s">
        <v>2012</v>
      </c>
      <c r="D995" s="3" t="s">
        <v>2013</v>
      </c>
      <c r="E995" s="4">
        <v>1</v>
      </c>
      <c r="F995" s="5">
        <v>950</v>
      </c>
      <c r="G995" s="6">
        <v>45713</v>
      </c>
      <c r="H995" s="5">
        <v>514.58</v>
      </c>
      <c r="I995" s="7" t="s">
        <v>24</v>
      </c>
      <c r="J995" s="5"/>
      <c r="K995" s="8" t="str">
        <f>IF(AND(H995&gt;0,J995&gt;0),(J995-H995)/H995,"")</f>
        <v/>
      </c>
      <c r="L995" s="5"/>
      <c r="M995" s="8" t="str">
        <f>IF(AND(J995&gt;0,L995&gt;0),(L995-J995)/J995,IF(AND(H995&gt;0,L995&gt;0),(L995-H995)/H995,""))</f>
        <v/>
      </c>
      <c r="N995" s="6">
        <v>45713</v>
      </c>
      <c r="O995" s="5">
        <v>514.58</v>
      </c>
      <c r="P995" s="8" t="str">
        <f>IF(AND(L995&gt;0,O995&gt;0),(O995-L995)/L995,"")</f>
        <v/>
      </c>
      <c r="Q995" s="9"/>
      <c r="R995" s="9">
        <v>1</v>
      </c>
      <c r="S995" s="10">
        <f>IF(N995&gt;0,TODAY()-N995,"")</f>
        <v>398</v>
      </c>
    </row>
    <row r="996" ht="17" customHeight="1" spans="1:19" x14ac:dyDescent="0.25">
      <c r="A996" s="11" t="s">
        <v>1934</v>
      </c>
      <c r="B996" s="11" t="s">
        <v>1935</v>
      </c>
      <c r="C996" s="11" t="s">
        <v>2014</v>
      </c>
      <c r="D996" s="11" t="s">
        <v>2015</v>
      </c>
      <c r="E996" s="12">
        <v>5</v>
      </c>
      <c r="F996" s="13">
        <v>320</v>
      </c>
      <c r="G996" s="14">
        <v>45805</v>
      </c>
      <c r="H996" s="13">
        <v>162.5</v>
      </c>
      <c r="I996" s="15" t="s">
        <v>24</v>
      </c>
      <c r="J996" s="13"/>
      <c r="K996" s="16" t="str">
        <f>IF(AND(H996&gt;0,J996&gt;0),(J996-H996)/H996,"")</f>
        <v/>
      </c>
      <c r="L996" s="13"/>
      <c r="M996" s="16" t="str">
        <f>IF(AND(J996&gt;0,L996&gt;0),(L996-J996)/J996,IF(AND(H996&gt;0,L996&gt;0),(L996-H996)/H996,""))</f>
        <v/>
      </c>
      <c r="N996" s="14">
        <v>45863</v>
      </c>
      <c r="O996" s="13">
        <v>216.67</v>
      </c>
      <c r="P996" s="16" t="str">
        <f>IF(AND(L996&gt;0,O996&gt;0),(O996-L996)/L996,"")</f>
        <v/>
      </c>
      <c r="Q996" s="18">
        <v>29</v>
      </c>
      <c r="R996" s="18">
        <v>3</v>
      </c>
      <c r="S996" s="10">
        <f>IF(N996&gt;0,TODAY()-N996,"")</f>
        <v>248</v>
      </c>
    </row>
    <row r="997" ht="17" customHeight="1" spans="1:19" x14ac:dyDescent="0.25">
      <c r="A997" s="3" t="s">
        <v>1934</v>
      </c>
      <c r="B997" s="3" t="s">
        <v>1935</v>
      </c>
      <c r="C997" s="3" t="s">
        <v>2016</v>
      </c>
      <c r="D997" s="3" t="s">
        <v>2017</v>
      </c>
      <c r="E997" s="4">
        <v>3</v>
      </c>
      <c r="F997" s="5">
        <v>850</v>
      </c>
      <c r="G997" s="6">
        <v>45713</v>
      </c>
      <c r="H997" s="5">
        <v>502.27</v>
      </c>
      <c r="I997" s="7" t="s">
        <v>24</v>
      </c>
      <c r="J997" s="5"/>
      <c r="K997" s="8" t="str">
        <f>IF(AND(H997&gt;0,J997&gt;0),(J997-H997)/H997,"")</f>
        <v/>
      </c>
      <c r="L997" s="5"/>
      <c r="M997" s="8" t="str">
        <f>IF(AND(J997&gt;0,L997&gt;0),(L997-J997)/J997,IF(AND(H997&gt;0,L997&gt;0),(L997-H997)/H997,""))</f>
        <v/>
      </c>
      <c r="N997" s="6">
        <v>45824</v>
      </c>
      <c r="O997" s="5">
        <v>502.27</v>
      </c>
      <c r="P997" s="8" t="str">
        <f>IF(AND(L997&gt;0,O997&gt;0),(O997-L997)/L997,"")</f>
        <v/>
      </c>
      <c r="Q997" s="9">
        <v>56</v>
      </c>
      <c r="R997" s="9">
        <v>3</v>
      </c>
      <c r="S997" s="10">
        <f>IF(N997&gt;0,TODAY()-N997,"")</f>
        <v>287</v>
      </c>
    </row>
    <row r="998" ht="17" customHeight="1" spans="1:19" x14ac:dyDescent="0.25">
      <c r="A998" s="11" t="s">
        <v>1934</v>
      </c>
      <c r="B998" s="11" t="s">
        <v>1935</v>
      </c>
      <c r="C998" s="11" t="s">
        <v>2018</v>
      </c>
      <c r="D998" s="11" t="s">
        <v>2019</v>
      </c>
      <c r="E998" s="12">
        <v>5</v>
      </c>
      <c r="F998" s="13">
        <v>5200</v>
      </c>
      <c r="G998" s="14">
        <v>45762</v>
      </c>
      <c r="H998" s="13">
        <v>3072.73</v>
      </c>
      <c r="I998" s="15" t="s">
        <v>24</v>
      </c>
      <c r="J998" s="13"/>
      <c r="K998" s="16" t="str">
        <f>IF(AND(H998&gt;0,J998&gt;0),(J998-H998)/H998,"")</f>
        <v/>
      </c>
      <c r="L998" s="13"/>
      <c r="M998" s="16" t="str">
        <f>IF(AND(J998&gt;0,L998&gt;0),(L998-J998)/J998,IF(AND(H998&gt;0,L998&gt;0),(L998-H998)/H998,""))</f>
        <v/>
      </c>
      <c r="N998" s="14">
        <v>45762</v>
      </c>
      <c r="O998" s="13">
        <v>3072.73</v>
      </c>
      <c r="P998" s="16" t="str">
        <f>IF(AND(L998&gt;0,O998&gt;0),(O998-L998)/L998,"")</f>
        <v/>
      </c>
      <c r="Q998" s="18"/>
      <c r="R998" s="18">
        <v>1</v>
      </c>
      <c r="S998" s="10">
        <f>IF(N998&gt;0,TODAY()-N998,"")</f>
        <v>349</v>
      </c>
    </row>
    <row r="999" ht="17" customHeight="1" spans="1:19" x14ac:dyDescent="0.25">
      <c r="A999" s="3" t="s">
        <v>1934</v>
      </c>
      <c r="B999" s="3" t="s">
        <v>1935</v>
      </c>
      <c r="C999" s="3" t="s">
        <v>2020</v>
      </c>
      <c r="D999" s="3" t="s">
        <v>2021</v>
      </c>
      <c r="E999" s="4">
        <v>12</v>
      </c>
      <c r="F999" s="5">
        <v>1300</v>
      </c>
      <c r="G999" s="6">
        <v>45713</v>
      </c>
      <c r="H999" s="5">
        <v>768.18</v>
      </c>
      <c r="I999" s="7" t="s">
        <v>24</v>
      </c>
      <c r="J999" s="5"/>
      <c r="K999" s="8" t="str">
        <f>IF(AND(H999&gt;0,J999&gt;0),(J999-H999)/H999,"")</f>
        <v/>
      </c>
      <c r="L999" s="5"/>
      <c r="M999" s="8" t="str">
        <f>IF(AND(J999&gt;0,L999&gt;0),(L999-J999)/J999,IF(AND(H999&gt;0,L999&gt;0),(L999-H999)/H999,""))</f>
        <v/>
      </c>
      <c r="N999" s="6">
        <v>45824</v>
      </c>
      <c r="O999" s="5">
        <v>768.18</v>
      </c>
      <c r="P999" s="8" t="str">
        <f>IF(AND(L999&gt;0,O999&gt;0),(O999-L999)/L999,"")</f>
        <v/>
      </c>
      <c r="Q999" s="9">
        <v>22</v>
      </c>
      <c r="R999" s="9">
        <v>6</v>
      </c>
      <c r="S999" s="10">
        <f>IF(N999&gt;0,TODAY()-N999,"")</f>
        <v>287</v>
      </c>
    </row>
    <row r="1000" ht="17" customHeight="1" spans="1:19" x14ac:dyDescent="0.25">
      <c r="A1000" s="11" t="s">
        <v>1934</v>
      </c>
      <c r="B1000" s="11" t="s">
        <v>1935</v>
      </c>
      <c r="C1000" s="11" t="s">
        <v>2022</v>
      </c>
      <c r="D1000" s="11" t="s">
        <v>2023</v>
      </c>
      <c r="E1000" s="12">
        <v>114</v>
      </c>
      <c r="F1000" s="13">
        <v>2640.3508771929824</v>
      </c>
      <c r="G1000" s="14">
        <v>45769</v>
      </c>
      <c r="H1000" s="13">
        <v>1477.27</v>
      </c>
      <c r="I1000" s="15" t="s">
        <v>24</v>
      </c>
      <c r="J1000" s="13"/>
      <c r="K1000" s="16" t="str">
        <f>IF(AND(H1000&gt;0,J1000&gt;0),(J1000-H1000)/H1000,"")</f>
        <v/>
      </c>
      <c r="L1000" s="13"/>
      <c r="M1000" s="16" t="str">
        <f>IF(AND(J1000&gt;0,L1000&gt;0),(L1000-J1000)/J1000,IF(AND(H1000&gt;0,L1000&gt;0),(L1000-H1000)/H1000,""))</f>
        <v/>
      </c>
      <c r="N1000" s="14">
        <v>45863</v>
      </c>
      <c r="O1000" s="13">
        <v>1772.73</v>
      </c>
      <c r="P1000" s="16" t="str">
        <f>IF(AND(L1000&gt;0,O1000&gt;0),(O1000-L1000)/L1000,"")</f>
        <v/>
      </c>
      <c r="Q1000" s="18">
        <v>12</v>
      </c>
      <c r="R1000" s="18">
        <v>9</v>
      </c>
      <c r="S1000" s="10">
        <f>IF(N1000&gt;0,TODAY()-N1000,"")</f>
        <v>248</v>
      </c>
    </row>
    <row r="1001" ht="17" customHeight="1" spans="1:19" x14ac:dyDescent="0.25">
      <c r="A1001" s="3" t="s">
        <v>1934</v>
      </c>
      <c r="B1001" s="3" t="s">
        <v>1935</v>
      </c>
      <c r="C1001" s="3" t="s">
        <v>2024</v>
      </c>
      <c r="D1001" s="3" t="s">
        <v>2025</v>
      </c>
      <c r="E1001" s="4">
        <v>38</v>
      </c>
      <c r="F1001" s="5">
        <v>1768.421052631579</v>
      </c>
      <c r="G1001" s="6">
        <v>45706</v>
      </c>
      <c r="H1001" s="5">
        <v>785.42</v>
      </c>
      <c r="I1001" s="7" t="s">
        <v>24</v>
      </c>
      <c r="J1001" s="5"/>
      <c r="K1001" s="8" t="str">
        <f>IF(AND(H1001&gt;0,J1001&gt;0),(J1001-H1001)/H1001,"")</f>
        <v/>
      </c>
      <c r="L1001" s="5"/>
      <c r="M1001" s="8" t="str">
        <f>IF(AND(J1001&gt;0,L1001&gt;0),(L1001-J1001)/J1001,IF(AND(H1001&gt;0,L1001&gt;0),(L1001-H1001)/H1001,""))</f>
        <v/>
      </c>
      <c r="N1001" s="6">
        <v>45845</v>
      </c>
      <c r="O1001" s="5">
        <v>1083.33</v>
      </c>
      <c r="P1001" s="8" t="str">
        <f>IF(AND(L1001&gt;0,O1001&gt;0),(O1001-L1001)/L1001,"")</f>
        <v/>
      </c>
      <c r="Q1001" s="9">
        <v>28</v>
      </c>
      <c r="R1001" s="9">
        <v>6</v>
      </c>
      <c r="S1001" s="10">
        <f>IF(N1001&gt;0,TODAY()-N1001,"")</f>
        <v>266</v>
      </c>
    </row>
    <row r="1002" ht="17" customHeight="1" spans="1:19" x14ac:dyDescent="0.25">
      <c r="A1002" s="11" t="s">
        <v>1934</v>
      </c>
      <c r="B1002" s="11" t="s">
        <v>1935</v>
      </c>
      <c r="C1002" s="11" t="s">
        <v>2026</v>
      </c>
      <c r="D1002" s="11" t="s">
        <v>2027</v>
      </c>
      <c r="E1002" s="12">
        <v>1</v>
      </c>
      <c r="F1002" s="13">
        <v>600</v>
      </c>
      <c r="G1002" s="14">
        <v>45713</v>
      </c>
      <c r="H1002" s="13">
        <v>354.55</v>
      </c>
      <c r="I1002" s="15" t="s">
        <v>24</v>
      </c>
      <c r="J1002" s="13"/>
      <c r="K1002" s="16" t="str">
        <f>IF(AND(H1002&gt;0,J1002&gt;0),(J1002-H1002)/H1002,"")</f>
        <v/>
      </c>
      <c r="L1002" s="13"/>
      <c r="M1002" s="16" t="str">
        <f>IF(AND(J1002&gt;0,L1002&gt;0),(L1002-J1002)/J1002,IF(AND(H1002&gt;0,L1002&gt;0),(L1002-H1002)/H1002,""))</f>
        <v/>
      </c>
      <c r="N1002" s="14">
        <v>45713</v>
      </c>
      <c r="O1002" s="13">
        <v>354.55</v>
      </c>
      <c r="P1002" s="16" t="str">
        <f>IF(AND(L1002&gt;0,O1002&gt;0),(O1002-L1002)/L1002,"")</f>
        <v/>
      </c>
      <c r="Q1002" s="18"/>
      <c r="R1002" s="18">
        <v>1</v>
      </c>
      <c r="S1002" s="10">
        <f>IF(N1002&gt;0,TODAY()-N1002,"")</f>
        <v>398</v>
      </c>
    </row>
    <row r="1003" ht="17" customHeight="1" spans="1:19" x14ac:dyDescent="0.25">
      <c r="A1003" s="3" t="s">
        <v>1934</v>
      </c>
      <c r="B1003" s="3" t="s">
        <v>1935</v>
      </c>
      <c r="C1003" s="3" t="s">
        <v>2028</v>
      </c>
      <c r="D1003" s="3" t="s">
        <v>2029</v>
      </c>
      <c r="E1003" s="4">
        <v>5</v>
      </c>
      <c r="F1003" s="5">
        <v>600</v>
      </c>
      <c r="G1003" s="6">
        <v>45762</v>
      </c>
      <c r="H1003" s="5">
        <v>354.55</v>
      </c>
      <c r="I1003" s="7" t="s">
        <v>24</v>
      </c>
      <c r="J1003" s="5"/>
      <c r="K1003" s="8" t="str">
        <f>IF(AND(H1003&gt;0,J1003&gt;0),(J1003-H1003)/H1003,"")</f>
        <v/>
      </c>
      <c r="L1003" s="5"/>
      <c r="M1003" s="8" t="str">
        <f>IF(AND(J1003&gt;0,L1003&gt;0),(L1003-J1003)/J1003,IF(AND(H1003&gt;0,L1003&gt;0),(L1003-H1003)/H1003,""))</f>
        <v/>
      </c>
      <c r="N1003" s="6">
        <v>45800</v>
      </c>
      <c r="O1003" s="5">
        <v>354.55</v>
      </c>
      <c r="P1003" s="8" t="str">
        <f>IF(AND(L1003&gt;0,O1003&gt;0),(O1003-L1003)/L1003,"")</f>
        <v/>
      </c>
      <c r="Q1003" s="9">
        <v>13</v>
      </c>
      <c r="R1003" s="9">
        <v>4</v>
      </c>
      <c r="S1003" s="10">
        <f>IF(N1003&gt;0,TODAY()-N1003,"")</f>
        <v>311</v>
      </c>
    </row>
    <row r="1004" ht="17" customHeight="1" spans="1:19" x14ac:dyDescent="0.25">
      <c r="A1004" s="11" t="s">
        <v>1934</v>
      </c>
      <c r="B1004" s="11" t="s">
        <v>1935</v>
      </c>
      <c r="C1004" s="11" t="s">
        <v>2030</v>
      </c>
      <c r="D1004" s="11" t="s">
        <v>2031</v>
      </c>
      <c r="E1004" s="12">
        <v>1</v>
      </c>
      <c r="F1004" s="13">
        <v>720</v>
      </c>
      <c r="G1004" s="14">
        <v>45845</v>
      </c>
      <c r="H1004" s="13">
        <v>425.46</v>
      </c>
      <c r="I1004" s="15" t="s">
        <v>24</v>
      </c>
      <c r="J1004" s="13"/>
      <c r="K1004" s="16" t="str">
        <f>IF(AND(H1004&gt;0,J1004&gt;0),(J1004-H1004)/H1004,"")</f>
        <v/>
      </c>
      <c r="L1004" s="13"/>
      <c r="M1004" s="16" t="str">
        <f>IF(AND(J1004&gt;0,L1004&gt;0),(L1004-J1004)/J1004,IF(AND(H1004&gt;0,L1004&gt;0),(L1004-H1004)/H1004,""))</f>
        <v/>
      </c>
      <c r="N1004" s="14">
        <v>45845</v>
      </c>
      <c r="O1004" s="13">
        <v>425.46</v>
      </c>
      <c r="P1004" s="16" t="str">
        <f>IF(AND(L1004&gt;0,O1004&gt;0),(O1004-L1004)/L1004,"")</f>
        <v/>
      </c>
      <c r="Q1004" s="18"/>
      <c r="R1004" s="18">
        <v>1</v>
      </c>
      <c r="S1004" s="10">
        <f>IF(N1004&gt;0,TODAY()-N1004,"")</f>
        <v>266</v>
      </c>
    </row>
    <row r="1005" ht="17" customHeight="1" spans="1:19" x14ac:dyDescent="0.25">
      <c r="A1005" s="3" t="s">
        <v>1934</v>
      </c>
      <c r="B1005" s="3" t="s">
        <v>1935</v>
      </c>
      <c r="C1005" s="3" t="s">
        <v>2032</v>
      </c>
      <c r="D1005" s="3" t="s">
        <v>2033</v>
      </c>
      <c r="E1005" s="4">
        <v>6</v>
      </c>
      <c r="F1005" s="5">
        <v>3000</v>
      </c>
      <c r="G1005" s="6">
        <v>45684</v>
      </c>
      <c r="H1005" s="5">
        <v>1625</v>
      </c>
      <c r="I1005" s="7" t="s">
        <v>24</v>
      </c>
      <c r="J1005" s="5"/>
      <c r="K1005" s="8" t="str">
        <f>IF(AND(H1005&gt;0,J1005&gt;0),(J1005-H1005)/H1005,"")</f>
        <v/>
      </c>
      <c r="L1005" s="5"/>
      <c r="M1005" s="8" t="str">
        <f>IF(AND(J1005&gt;0,L1005&gt;0),(L1005-J1005)/J1005,IF(AND(H1005&gt;0,L1005&gt;0),(L1005-H1005)/H1005,""))</f>
        <v/>
      </c>
      <c r="N1005" s="6">
        <v>45772</v>
      </c>
      <c r="O1005" s="5">
        <v>1625</v>
      </c>
      <c r="P1005" s="8" t="str">
        <f>IF(AND(L1005&gt;0,O1005&gt;0),(O1005-L1005)/L1005,"")</f>
        <v/>
      </c>
      <c r="Q1005" s="9">
        <v>18</v>
      </c>
      <c r="R1005" s="9">
        <v>6</v>
      </c>
      <c r="S1005" s="10">
        <f>IF(N1005&gt;0,TODAY()-N1005,"")</f>
        <v>339</v>
      </c>
    </row>
    <row r="1006" ht="17" customHeight="1" spans="1:19" x14ac:dyDescent="0.25">
      <c r="A1006" s="11" t="s">
        <v>1934</v>
      </c>
      <c r="B1006" s="11" t="s">
        <v>1935</v>
      </c>
      <c r="C1006" s="11" t="s">
        <v>2034</v>
      </c>
      <c r="D1006" s="11" t="s">
        <v>2035</v>
      </c>
      <c r="E1006" s="12">
        <v>25</v>
      </c>
      <c r="F1006" s="13">
        <v>850</v>
      </c>
      <c r="G1006" s="14">
        <v>45680</v>
      </c>
      <c r="H1006" s="13">
        <v>502.26</v>
      </c>
      <c r="I1006" s="15" t="s">
        <v>24</v>
      </c>
      <c r="J1006" s="13"/>
      <c r="K1006" s="16" t="str">
        <f>IF(AND(H1006&gt;0,J1006&gt;0),(J1006-H1006)/H1006,"")</f>
        <v/>
      </c>
      <c r="L1006" s="13"/>
      <c r="M1006" s="16" t="str">
        <f>IF(AND(J1006&gt;0,L1006&gt;0),(L1006-J1006)/J1006,IF(AND(H1006&gt;0,L1006&gt;0),(L1006-H1006)/H1006,""))</f>
        <v/>
      </c>
      <c r="N1006" s="14">
        <v>45824</v>
      </c>
      <c r="O1006" s="13">
        <v>502.27</v>
      </c>
      <c r="P1006" s="16" t="str">
        <f>IF(AND(L1006&gt;0,O1006&gt;0),(O1006-L1006)/L1006,"")</f>
        <v/>
      </c>
      <c r="Q1006" s="18">
        <v>18</v>
      </c>
      <c r="R1006" s="18">
        <v>9</v>
      </c>
      <c r="S1006" s="10">
        <f>IF(N1006&gt;0,TODAY()-N1006,"")</f>
        <v>287</v>
      </c>
    </row>
    <row r="1007" ht="17" customHeight="1" spans="1:19" x14ac:dyDescent="0.25">
      <c r="A1007" s="3" t="s">
        <v>1934</v>
      </c>
      <c r="B1007" s="3" t="s">
        <v>1935</v>
      </c>
      <c r="C1007" s="3" t="s">
        <v>2036</v>
      </c>
      <c r="D1007" s="3" t="s">
        <v>2037</v>
      </c>
      <c r="E1007" s="4">
        <v>2</v>
      </c>
      <c r="F1007" s="5">
        <v>4500</v>
      </c>
      <c r="G1007" s="6">
        <v>45772</v>
      </c>
      <c r="H1007" s="5">
        <v>2437.5</v>
      </c>
      <c r="I1007" s="7" t="s">
        <v>24</v>
      </c>
      <c r="J1007" s="5"/>
      <c r="K1007" s="8" t="str">
        <f>IF(AND(H1007&gt;0,J1007&gt;0),(J1007-H1007)/H1007,"")</f>
        <v/>
      </c>
      <c r="L1007" s="5"/>
      <c r="M1007" s="8" t="str">
        <f>IF(AND(J1007&gt;0,L1007&gt;0),(L1007-J1007)/J1007,IF(AND(H1007&gt;0,L1007&gt;0),(L1007-H1007)/H1007,""))</f>
        <v/>
      </c>
      <c r="N1007" s="6">
        <v>45772</v>
      </c>
      <c r="O1007" s="5">
        <v>2437.5</v>
      </c>
      <c r="P1007" s="8" t="str">
        <f>IF(AND(L1007&gt;0,O1007&gt;0),(O1007-L1007)/L1007,"")</f>
        <v/>
      </c>
      <c r="Q1007" s="9"/>
      <c r="R1007" s="9">
        <v>1</v>
      </c>
      <c r="S1007" s="10">
        <f>IF(N1007&gt;0,TODAY()-N1007,"")</f>
        <v>339</v>
      </c>
    </row>
    <row r="1008" ht="17" customHeight="1" spans="1:19" x14ac:dyDescent="0.25">
      <c r="A1008" s="11" t="s">
        <v>1934</v>
      </c>
      <c r="B1008" s="11" t="s">
        <v>1935</v>
      </c>
      <c r="C1008" s="11" t="s">
        <v>2038</v>
      </c>
      <c r="D1008" s="11" t="s">
        <v>2039</v>
      </c>
      <c r="E1008" s="12">
        <v>9</v>
      </c>
      <c r="F1008" s="13">
        <v>672.1666666666666</v>
      </c>
      <c r="G1008" s="14">
        <v>45758</v>
      </c>
      <c r="H1008" s="13">
        <v>626.5</v>
      </c>
      <c r="I1008" s="15" t="s">
        <v>57</v>
      </c>
      <c r="J1008" s="13">
        <v>695</v>
      </c>
      <c r="K1008" s="20">
        <f>IF(AND(H1008&gt;0,J1008&gt;0),(J1008-H1008)/H1008,"")</f>
        <v>0.10933758978451716</v>
      </c>
      <c r="L1008" s="13"/>
      <c r="M1008" s="16" t="str">
        <f>IF(AND(J1008&gt;0,L1008&gt;0),(L1008-J1008)/J1008,IF(AND(H1008&gt;0,L1008&gt;0),(L1008-H1008)/H1008,""))</f>
        <v/>
      </c>
      <c r="N1008" s="14">
        <v>45944</v>
      </c>
      <c r="O1008" s="13">
        <v>695</v>
      </c>
      <c r="P1008" s="16" t="str">
        <f>IF(AND(L1008&gt;0,O1008&gt;0),(O1008-L1008)/L1008,"")</f>
        <v/>
      </c>
      <c r="Q1008" s="18">
        <v>62</v>
      </c>
      <c r="R1008" s="18">
        <v>4</v>
      </c>
      <c r="S1008" s="21">
        <f>IF(N1008&gt;0,TODAY()-N1008,"")</f>
        <v>167</v>
      </c>
    </row>
    <row r="1009" ht="17" customHeight="1" spans="1:19" x14ac:dyDescent="0.25">
      <c r="A1009" s="3" t="s">
        <v>1934</v>
      </c>
      <c r="B1009" s="3" t="s">
        <v>1935</v>
      </c>
      <c r="C1009" s="3" t="s">
        <v>2040</v>
      </c>
      <c r="D1009" s="3" t="s">
        <v>2041</v>
      </c>
      <c r="E1009" s="4">
        <v>24</v>
      </c>
      <c r="F1009" s="5">
        <v>453.5</v>
      </c>
      <c r="G1009" s="6">
        <v>45758</v>
      </c>
      <c r="H1009" s="5">
        <v>453.5</v>
      </c>
      <c r="I1009" s="7" t="s">
        <v>24</v>
      </c>
      <c r="J1009" s="5"/>
      <c r="K1009" s="8" t="str">
        <f>IF(AND(H1009&gt;0,J1009&gt;0),(J1009-H1009)/H1009,"")</f>
        <v/>
      </c>
      <c r="L1009" s="5"/>
      <c r="M1009" s="8" t="str">
        <f>IF(AND(J1009&gt;0,L1009&gt;0),(L1009-J1009)/J1009,IF(AND(H1009&gt;0,L1009&gt;0),(L1009-H1009)/H1009,""))</f>
        <v/>
      </c>
      <c r="N1009" s="6">
        <v>45758</v>
      </c>
      <c r="O1009" s="5">
        <v>453.5</v>
      </c>
      <c r="P1009" s="8" t="str">
        <f>IF(AND(L1009&gt;0,O1009&gt;0),(O1009-L1009)/L1009,"")</f>
        <v/>
      </c>
      <c r="Q1009" s="9"/>
      <c r="R1009" s="9">
        <v>1</v>
      </c>
      <c r="S1009" s="10">
        <f>IF(N1009&gt;0,TODAY()-N1009,"")</f>
        <v>353</v>
      </c>
    </row>
    <row r="1010" ht="17" customHeight="1" spans="1:19" x14ac:dyDescent="0.25">
      <c r="A1010" s="11" t="s">
        <v>1934</v>
      </c>
      <c r="B1010" s="11" t="s">
        <v>1935</v>
      </c>
      <c r="C1010" s="11" t="s">
        <v>2042</v>
      </c>
      <c r="D1010" s="11" t="s">
        <v>2043</v>
      </c>
      <c r="E1010" s="12">
        <v>2</v>
      </c>
      <c r="F1010" s="13">
        <v>1933.09</v>
      </c>
      <c r="G1010" s="14">
        <v>45758</v>
      </c>
      <c r="H1010" s="13">
        <v>1933.09</v>
      </c>
      <c r="I1010" s="15" t="s">
        <v>24</v>
      </c>
      <c r="J1010" s="13"/>
      <c r="K1010" s="16" t="str">
        <f>IF(AND(H1010&gt;0,J1010&gt;0),(J1010-H1010)/H1010,"")</f>
        <v/>
      </c>
      <c r="L1010" s="13"/>
      <c r="M1010" s="16" t="str">
        <f>IF(AND(J1010&gt;0,L1010&gt;0),(L1010-J1010)/J1010,IF(AND(H1010&gt;0,L1010&gt;0),(L1010-H1010)/H1010,""))</f>
        <v/>
      </c>
      <c r="N1010" s="14">
        <v>45771</v>
      </c>
      <c r="O1010" s="13">
        <v>1933.09</v>
      </c>
      <c r="P1010" s="16" t="str">
        <f>IF(AND(L1010&gt;0,O1010&gt;0),(O1010-L1010)/L1010,"")</f>
        <v/>
      </c>
      <c r="Q1010" s="18">
        <v>13</v>
      </c>
      <c r="R1010" s="18">
        <v>2</v>
      </c>
      <c r="S1010" s="10">
        <f>IF(N1010&gt;0,TODAY()-N1010,"")</f>
        <v>340</v>
      </c>
    </row>
    <row r="1011" ht="17" customHeight="1" spans="1:19" x14ac:dyDescent="0.25">
      <c r="A1011" s="3" t="s">
        <v>1934</v>
      </c>
      <c r="B1011" s="3" t="s">
        <v>1935</v>
      </c>
      <c r="C1011" s="3" t="s">
        <v>2044</v>
      </c>
      <c r="D1011" s="3" t="s">
        <v>2045</v>
      </c>
      <c r="E1011" s="4">
        <v>6</v>
      </c>
      <c r="F1011" s="5">
        <v>249</v>
      </c>
      <c r="G1011" s="6">
        <v>45810</v>
      </c>
      <c r="H1011" s="5">
        <v>249</v>
      </c>
      <c r="I1011" s="7" t="s">
        <v>24</v>
      </c>
      <c r="J1011" s="5"/>
      <c r="K1011" s="8" t="str">
        <f>IF(AND(H1011&gt;0,J1011&gt;0),(J1011-H1011)/H1011,"")</f>
        <v/>
      </c>
      <c r="L1011" s="5"/>
      <c r="M1011" s="8" t="str">
        <f>IF(AND(J1011&gt;0,L1011&gt;0),(L1011-J1011)/J1011,IF(AND(H1011&gt;0,L1011&gt;0),(L1011-H1011)/H1011,""))</f>
        <v/>
      </c>
      <c r="N1011" s="6">
        <v>45810</v>
      </c>
      <c r="O1011" s="5">
        <v>249</v>
      </c>
      <c r="P1011" s="8" t="str">
        <f>IF(AND(L1011&gt;0,O1011&gt;0),(O1011-L1011)/L1011,"")</f>
        <v/>
      </c>
      <c r="Q1011" s="9"/>
      <c r="R1011" s="9">
        <v>1</v>
      </c>
      <c r="S1011" s="10">
        <f>IF(N1011&gt;0,TODAY()-N1011,"")</f>
        <v>301</v>
      </c>
    </row>
    <row r="1012" ht="17" customHeight="1" spans="1:19" x14ac:dyDescent="0.25">
      <c r="A1012" s="11" t="s">
        <v>1934</v>
      </c>
      <c r="B1012" s="11" t="s">
        <v>1935</v>
      </c>
      <c r="C1012" s="11" t="s">
        <v>2046</v>
      </c>
      <c r="D1012" s="11" t="s">
        <v>2047</v>
      </c>
      <c r="E1012" s="12">
        <v>4</v>
      </c>
      <c r="F1012" s="13">
        <v>415</v>
      </c>
      <c r="G1012" s="14">
        <v>45758</v>
      </c>
      <c r="H1012" s="13">
        <v>403.5</v>
      </c>
      <c r="I1012" s="15" t="s">
        <v>24</v>
      </c>
      <c r="J1012" s="13"/>
      <c r="K1012" s="16" t="str">
        <f>IF(AND(H1012&gt;0,J1012&gt;0),(J1012-H1012)/H1012,"")</f>
        <v/>
      </c>
      <c r="L1012" s="13"/>
      <c r="M1012" s="16" t="str">
        <f>IF(AND(J1012&gt;0,L1012&gt;0),(L1012-J1012)/J1012,IF(AND(H1012&gt;0,L1012&gt;0),(L1012-H1012)/H1012,""))</f>
        <v/>
      </c>
      <c r="N1012" s="14">
        <v>45924</v>
      </c>
      <c r="O1012" s="13">
        <v>426.5</v>
      </c>
      <c r="P1012" s="16" t="str">
        <f>IF(AND(L1012&gt;0,O1012&gt;0),(O1012-L1012)/L1012,"")</f>
        <v/>
      </c>
      <c r="Q1012" s="18">
        <v>83</v>
      </c>
      <c r="R1012" s="18">
        <v>3</v>
      </c>
      <c r="S1012" s="10">
        <f>IF(N1012&gt;0,TODAY()-N1012,"")</f>
        <v>187</v>
      </c>
    </row>
    <row r="1013" ht="17" customHeight="1" spans="1:19" x14ac:dyDescent="0.25">
      <c r="A1013" s="3" t="s">
        <v>1934</v>
      </c>
      <c r="B1013" s="3" t="s">
        <v>1935</v>
      </c>
      <c r="C1013" s="3" t="s">
        <v>2048</v>
      </c>
      <c r="D1013" s="3" t="s">
        <v>2049</v>
      </c>
      <c r="E1013" s="4">
        <v>3</v>
      </c>
      <c r="F1013" s="5">
        <v>490.6666666666667</v>
      </c>
      <c r="G1013" s="6">
        <v>45758</v>
      </c>
      <c r="H1013" s="5">
        <v>481</v>
      </c>
      <c r="I1013" s="7" t="s">
        <v>24</v>
      </c>
      <c r="J1013" s="5"/>
      <c r="K1013" s="8" t="str">
        <f>IF(AND(H1013&gt;0,J1013&gt;0),(J1013-H1013)/H1013,"")</f>
        <v/>
      </c>
      <c r="L1013" s="5"/>
      <c r="M1013" s="8" t="str">
        <f>IF(AND(J1013&gt;0,L1013&gt;0),(L1013-J1013)/J1013,IF(AND(H1013&gt;0,L1013&gt;0),(L1013-H1013)/H1013,""))</f>
        <v/>
      </c>
      <c r="N1013" s="6">
        <v>45924</v>
      </c>
      <c r="O1013" s="5">
        <v>510</v>
      </c>
      <c r="P1013" s="8" t="str">
        <f>IF(AND(L1013&gt;0,O1013&gt;0),(O1013-L1013)/L1013,"")</f>
        <v/>
      </c>
      <c r="Q1013" s="9">
        <v>166</v>
      </c>
      <c r="R1013" s="9">
        <v>2</v>
      </c>
      <c r="S1013" s="10">
        <f>IF(N1013&gt;0,TODAY()-N1013,"")</f>
        <v>187</v>
      </c>
    </row>
    <row r="1014" ht="17" customHeight="1" spans="1:19" x14ac:dyDescent="0.25">
      <c r="A1014" s="11" t="s">
        <v>1934</v>
      </c>
      <c r="B1014" s="11" t="s">
        <v>1935</v>
      </c>
      <c r="C1014" s="11" t="s">
        <v>2050</v>
      </c>
      <c r="D1014" s="11" t="s">
        <v>2051</v>
      </c>
      <c r="E1014" s="12">
        <v>4</v>
      </c>
      <c r="F1014" s="13">
        <v>207.26999999999998</v>
      </c>
      <c r="G1014" s="14">
        <v>45810</v>
      </c>
      <c r="H1014" s="13">
        <v>207.27</v>
      </c>
      <c r="I1014" s="15" t="s">
        <v>24</v>
      </c>
      <c r="J1014" s="13"/>
      <c r="K1014" s="16" t="str">
        <f>IF(AND(H1014&gt;0,J1014&gt;0),(J1014-H1014)/H1014,"")</f>
        <v/>
      </c>
      <c r="L1014" s="13"/>
      <c r="M1014" s="16" t="str">
        <f>IF(AND(J1014&gt;0,L1014&gt;0),(L1014-J1014)/J1014,IF(AND(H1014&gt;0,L1014&gt;0),(L1014-H1014)/H1014,""))</f>
        <v/>
      </c>
      <c r="N1014" s="14">
        <v>45818</v>
      </c>
      <c r="O1014" s="13">
        <v>207.27</v>
      </c>
      <c r="P1014" s="16" t="str">
        <f>IF(AND(L1014&gt;0,O1014&gt;0),(O1014-L1014)/L1014,"")</f>
        <v/>
      </c>
      <c r="Q1014" s="18">
        <v>8</v>
      </c>
      <c r="R1014" s="18">
        <v>2</v>
      </c>
      <c r="S1014" s="10">
        <f>IF(N1014&gt;0,TODAY()-N1014,"")</f>
        <v>293</v>
      </c>
    </row>
    <row r="1015" ht="17" customHeight="1" spans="1:19" x14ac:dyDescent="0.25">
      <c r="A1015" s="3" t="s">
        <v>1934</v>
      </c>
      <c r="B1015" s="3" t="s">
        <v>1935</v>
      </c>
      <c r="C1015" s="3" t="s">
        <v>2052</v>
      </c>
      <c r="D1015" s="3" t="s">
        <v>2053</v>
      </c>
      <c r="E1015" s="4">
        <v>24</v>
      </c>
      <c r="F1015" s="5">
        <v>535.5</v>
      </c>
      <c r="G1015" s="6">
        <v>45810</v>
      </c>
      <c r="H1015" s="5">
        <v>535.5</v>
      </c>
      <c r="I1015" s="7" t="s">
        <v>24</v>
      </c>
      <c r="J1015" s="5"/>
      <c r="K1015" s="8" t="str">
        <f>IF(AND(H1015&gt;0,J1015&gt;0),(J1015-H1015)/H1015,"")</f>
        <v/>
      </c>
      <c r="L1015" s="5"/>
      <c r="M1015" s="8" t="str">
        <f>IF(AND(J1015&gt;0,L1015&gt;0),(L1015-J1015)/J1015,IF(AND(H1015&gt;0,L1015&gt;0),(L1015-H1015)/H1015,""))</f>
        <v/>
      </c>
      <c r="N1015" s="6">
        <v>45810</v>
      </c>
      <c r="O1015" s="5">
        <v>535.5</v>
      </c>
      <c r="P1015" s="8" t="str">
        <f>IF(AND(L1015&gt;0,O1015&gt;0),(O1015-L1015)/L1015,"")</f>
        <v/>
      </c>
      <c r="Q1015" s="9"/>
      <c r="R1015" s="9">
        <v>1</v>
      </c>
      <c r="S1015" s="10">
        <f>IF(N1015&gt;0,TODAY()-N1015,"")</f>
        <v>301</v>
      </c>
    </row>
    <row r="1016" ht="17" customHeight="1" spans="1:19" x14ac:dyDescent="0.25">
      <c r="A1016" s="11" t="s">
        <v>1934</v>
      </c>
      <c r="B1016" s="11" t="s">
        <v>1935</v>
      </c>
      <c r="C1016" s="11" t="s">
        <v>2054</v>
      </c>
      <c r="D1016" s="11" t="s">
        <v>2055</v>
      </c>
      <c r="E1016" s="12">
        <v>8</v>
      </c>
      <c r="F1016" s="13">
        <v>803.75</v>
      </c>
      <c r="G1016" s="14">
        <v>45758</v>
      </c>
      <c r="H1016" s="13">
        <v>762.5</v>
      </c>
      <c r="I1016" s="15" t="s">
        <v>24</v>
      </c>
      <c r="J1016" s="13"/>
      <c r="K1016" s="16" t="str">
        <f>IF(AND(H1016&gt;0,J1016&gt;0),(J1016-H1016)/H1016,"")</f>
        <v/>
      </c>
      <c r="L1016" s="13"/>
      <c r="M1016" s="16" t="str">
        <f>IF(AND(J1016&gt;0,L1016&gt;0),(L1016-J1016)/J1016,IF(AND(H1016&gt;0,L1016&gt;0),(L1016-H1016)/H1016,""))</f>
        <v/>
      </c>
      <c r="N1016" s="14">
        <v>45924</v>
      </c>
      <c r="O1016" s="13">
        <v>817.5</v>
      </c>
      <c r="P1016" s="16" t="str">
        <f>IF(AND(L1016&gt;0,O1016&gt;0),(O1016-L1016)/L1016,"")</f>
        <v/>
      </c>
      <c r="Q1016" s="18">
        <v>55</v>
      </c>
      <c r="R1016" s="18">
        <v>4</v>
      </c>
      <c r="S1016" s="10">
        <f>IF(N1016&gt;0,TODAY()-N1016,"")</f>
        <v>187</v>
      </c>
    </row>
    <row r="1017" ht="17" customHeight="1" spans="1:19" x14ac:dyDescent="0.25">
      <c r="A1017" s="3" t="s">
        <v>1934</v>
      </c>
      <c r="B1017" s="3" t="s">
        <v>1935</v>
      </c>
      <c r="C1017" s="3" t="s">
        <v>2056</v>
      </c>
      <c r="D1017" s="3" t="s">
        <v>2057</v>
      </c>
      <c r="E1017" s="4">
        <v>6</v>
      </c>
      <c r="F1017" s="5">
        <v>335.5</v>
      </c>
      <c r="G1017" s="6">
        <v>45758</v>
      </c>
      <c r="H1017" s="5">
        <v>335.5</v>
      </c>
      <c r="I1017" s="7" t="s">
        <v>24</v>
      </c>
      <c r="J1017" s="5"/>
      <c r="K1017" s="8" t="str">
        <f>IF(AND(H1017&gt;0,J1017&gt;0),(J1017-H1017)/H1017,"")</f>
        <v/>
      </c>
      <c r="L1017" s="5"/>
      <c r="M1017" s="8" t="str">
        <f>IF(AND(J1017&gt;0,L1017&gt;0),(L1017-J1017)/J1017,IF(AND(H1017&gt;0,L1017&gt;0),(L1017-H1017)/H1017,""))</f>
        <v/>
      </c>
      <c r="N1017" s="6">
        <v>45758</v>
      </c>
      <c r="O1017" s="5">
        <v>335.5</v>
      </c>
      <c r="P1017" s="8" t="str">
        <f>IF(AND(L1017&gt;0,O1017&gt;0),(O1017-L1017)/L1017,"")</f>
        <v/>
      </c>
      <c r="Q1017" s="9"/>
      <c r="R1017" s="9">
        <v>1</v>
      </c>
      <c r="S1017" s="10">
        <f>IF(N1017&gt;0,TODAY()-N1017,"")</f>
        <v>353</v>
      </c>
    </row>
    <row r="1018" ht="17" customHeight="1" spans="1:19" x14ac:dyDescent="0.25">
      <c r="A1018" s="11" t="s">
        <v>1934</v>
      </c>
      <c r="B1018" s="11" t="s">
        <v>1935</v>
      </c>
      <c r="C1018" s="11" t="s">
        <v>2058</v>
      </c>
      <c r="D1018" s="11" t="s">
        <v>2059</v>
      </c>
      <c r="E1018" s="12">
        <v>5</v>
      </c>
      <c r="F1018" s="13">
        <v>165.5</v>
      </c>
      <c r="G1018" s="14">
        <v>45758</v>
      </c>
      <c r="H1018" s="13">
        <v>162.5</v>
      </c>
      <c r="I1018" s="15" t="s">
        <v>57</v>
      </c>
      <c r="J1018" s="13">
        <v>177.5</v>
      </c>
      <c r="K1018" s="17">
        <f>IF(AND(H1018&gt;0,J1018&gt;0),(J1018-H1018)/H1018,"")</f>
        <v>0.09230769230769231</v>
      </c>
      <c r="L1018" s="13"/>
      <c r="M1018" s="16" t="str">
        <f>IF(AND(J1018&gt;0,L1018&gt;0),(L1018-J1018)/J1018,IF(AND(H1018&gt;0,L1018&gt;0),(L1018-H1018)/H1018,""))</f>
        <v/>
      </c>
      <c r="N1018" s="14">
        <v>45953</v>
      </c>
      <c r="O1018" s="13">
        <v>177.5</v>
      </c>
      <c r="P1018" s="16" t="str">
        <f>IF(AND(L1018&gt;0,O1018&gt;0),(O1018-L1018)/L1018,"")</f>
        <v/>
      </c>
      <c r="Q1018" s="18">
        <v>195</v>
      </c>
      <c r="R1018" s="18">
        <v>2</v>
      </c>
      <c r="S1018" s="21">
        <f>IF(N1018&gt;0,TODAY()-N1018,"")</f>
        <v>158</v>
      </c>
    </row>
    <row r="1019" ht="17" customHeight="1" spans="1:19" x14ac:dyDescent="0.25">
      <c r="A1019" s="3" t="s">
        <v>1934</v>
      </c>
      <c r="B1019" s="3" t="s">
        <v>1935</v>
      </c>
      <c r="C1019" s="3" t="s">
        <v>2060</v>
      </c>
      <c r="D1019" s="3" t="s">
        <v>2061</v>
      </c>
      <c r="E1019" s="4">
        <v>8</v>
      </c>
      <c r="F1019" s="5">
        <v>1450</v>
      </c>
      <c r="G1019" s="6">
        <v>45692</v>
      </c>
      <c r="H1019" s="5">
        <v>856.82</v>
      </c>
      <c r="I1019" s="7" t="s">
        <v>24</v>
      </c>
      <c r="J1019" s="5"/>
      <c r="K1019" s="8" t="str">
        <f>IF(AND(H1019&gt;0,J1019&gt;0),(J1019-H1019)/H1019,"")</f>
        <v/>
      </c>
      <c r="L1019" s="5"/>
      <c r="M1019" s="8" t="str">
        <f>IF(AND(J1019&gt;0,L1019&gt;0),(L1019-J1019)/J1019,IF(AND(H1019&gt;0,L1019&gt;0),(L1019-H1019)/H1019,""))</f>
        <v/>
      </c>
      <c r="N1019" s="6">
        <v>45818</v>
      </c>
      <c r="O1019" s="5">
        <v>856.82</v>
      </c>
      <c r="P1019" s="8" t="str">
        <f>IF(AND(L1019&gt;0,O1019&gt;0),(O1019-L1019)/L1019,"")</f>
        <v/>
      </c>
      <c r="Q1019" s="9">
        <v>32</v>
      </c>
      <c r="R1019" s="9">
        <v>5</v>
      </c>
      <c r="S1019" s="10">
        <f>IF(N1019&gt;0,TODAY()-N1019,"")</f>
        <v>293</v>
      </c>
    </row>
    <row r="1020" ht="17" customHeight="1" spans="1:19" x14ac:dyDescent="0.25">
      <c r="A1020" s="11" t="s">
        <v>1934</v>
      </c>
      <c r="B1020" s="11" t="s">
        <v>1935</v>
      </c>
      <c r="C1020" s="11" t="s">
        <v>2062</v>
      </c>
      <c r="D1020" s="11" t="s">
        <v>2063</v>
      </c>
      <c r="E1020" s="12">
        <v>6</v>
      </c>
      <c r="F1020" s="13">
        <v>541.6666666666666</v>
      </c>
      <c r="G1020" s="14">
        <v>45713</v>
      </c>
      <c r="H1020" s="13">
        <v>284.38</v>
      </c>
      <c r="I1020" s="15" t="s">
        <v>24</v>
      </c>
      <c r="J1020" s="13"/>
      <c r="K1020" s="16" t="str">
        <f>IF(AND(H1020&gt;0,J1020&gt;0),(J1020-H1020)/H1020,"")</f>
        <v/>
      </c>
      <c r="L1020" s="13"/>
      <c r="M1020" s="16" t="str">
        <f>IF(AND(J1020&gt;0,L1020&gt;0),(L1020-J1020)/J1020,IF(AND(H1020&gt;0,L1020&gt;0),(L1020-H1020)/H1020,""))</f>
        <v/>
      </c>
      <c r="N1020" s="14">
        <v>45845</v>
      </c>
      <c r="O1020" s="13">
        <v>338.54</v>
      </c>
      <c r="P1020" s="16" t="str">
        <f>IF(AND(L1020&gt;0,O1020&gt;0),(O1020-L1020)/L1020,"")</f>
        <v/>
      </c>
      <c r="Q1020" s="18">
        <v>33</v>
      </c>
      <c r="R1020" s="18">
        <v>5</v>
      </c>
      <c r="S1020" s="10">
        <f>IF(N1020&gt;0,TODAY()-N1020,"")</f>
        <v>266</v>
      </c>
    </row>
    <row r="1021" ht="17" customHeight="1" spans="1:19" x14ac:dyDescent="0.25">
      <c r="A1021" s="3" t="s">
        <v>1934</v>
      </c>
      <c r="B1021" s="3" t="s">
        <v>1935</v>
      </c>
      <c r="C1021" s="3" t="s">
        <v>2064</v>
      </c>
      <c r="D1021" s="3" t="s">
        <v>2065</v>
      </c>
      <c r="E1021" s="4">
        <v>8</v>
      </c>
      <c r="F1021" s="5">
        <v>1218.75</v>
      </c>
      <c r="G1021" s="6">
        <v>45810</v>
      </c>
      <c r="H1021" s="5">
        <v>590.91</v>
      </c>
      <c r="I1021" s="7" t="s">
        <v>24</v>
      </c>
      <c r="J1021" s="5"/>
      <c r="K1021" s="8" t="str">
        <f>IF(AND(H1021&gt;0,J1021&gt;0),(J1021-H1021)/H1021,"")</f>
        <v/>
      </c>
      <c r="L1021" s="5"/>
      <c r="M1021" s="8" t="str">
        <f>IF(AND(J1021&gt;0,L1021&gt;0),(L1021-J1021)/J1021,IF(AND(H1021&gt;0,L1021&gt;0),(L1021-H1021)/H1021,""))</f>
        <v/>
      </c>
      <c r="N1021" s="6">
        <v>45845</v>
      </c>
      <c r="O1021" s="5">
        <v>738.64</v>
      </c>
      <c r="P1021" s="8" t="str">
        <f>IF(AND(L1021&gt;0,O1021&gt;0),(O1021-L1021)/L1021,"")</f>
        <v/>
      </c>
      <c r="Q1021" s="9">
        <v>35</v>
      </c>
      <c r="R1021" s="9">
        <v>2</v>
      </c>
      <c r="S1021" s="10">
        <f>IF(N1021&gt;0,TODAY()-N1021,"")</f>
        <v>266</v>
      </c>
    </row>
    <row r="1022" ht="17" customHeight="1" spans="1:19" x14ac:dyDescent="0.25">
      <c r="A1022" s="11" t="s">
        <v>1934</v>
      </c>
      <c r="B1022" s="11" t="s">
        <v>1935</v>
      </c>
      <c r="C1022" s="11" t="s">
        <v>2066</v>
      </c>
      <c r="D1022" s="11" t="s">
        <v>2067</v>
      </c>
      <c r="E1022" s="12">
        <v>3</v>
      </c>
      <c r="F1022" s="13">
        <v>600</v>
      </c>
      <c r="G1022" s="14">
        <v>45848</v>
      </c>
      <c r="H1022" s="13">
        <v>325</v>
      </c>
      <c r="I1022" s="15" t="s">
        <v>24</v>
      </c>
      <c r="J1022" s="13"/>
      <c r="K1022" s="16" t="str">
        <f>IF(AND(H1022&gt;0,J1022&gt;0),(J1022-H1022)/H1022,"")</f>
        <v/>
      </c>
      <c r="L1022" s="13"/>
      <c r="M1022" s="16" t="str">
        <f>IF(AND(J1022&gt;0,L1022&gt;0),(L1022-J1022)/J1022,IF(AND(H1022&gt;0,L1022&gt;0),(L1022-H1022)/H1022,""))</f>
        <v/>
      </c>
      <c r="N1022" s="14">
        <v>45863</v>
      </c>
      <c r="O1022" s="13">
        <v>325</v>
      </c>
      <c r="P1022" s="16" t="str">
        <f>IF(AND(L1022&gt;0,O1022&gt;0),(O1022-L1022)/L1022,"")</f>
        <v/>
      </c>
      <c r="Q1022" s="18">
        <v>15</v>
      </c>
      <c r="R1022" s="18">
        <v>2</v>
      </c>
      <c r="S1022" s="10">
        <f>IF(N1022&gt;0,TODAY()-N1022,"")</f>
        <v>248</v>
      </c>
    </row>
    <row r="1023" ht="17" customHeight="1" spans="1:19" x14ac:dyDescent="0.25">
      <c r="A1023" s="3" t="s">
        <v>1934</v>
      </c>
      <c r="B1023" s="3" t="s">
        <v>1935</v>
      </c>
      <c r="C1023" s="3" t="s">
        <v>2068</v>
      </c>
      <c r="D1023" s="3" t="s">
        <v>2069</v>
      </c>
      <c r="E1023" s="4">
        <v>3</v>
      </c>
      <c r="F1023" s="5">
        <v>1800</v>
      </c>
      <c r="G1023" s="6">
        <v>45713</v>
      </c>
      <c r="H1023" s="5">
        <v>945.45</v>
      </c>
      <c r="I1023" s="7" t="s">
        <v>24</v>
      </c>
      <c r="J1023" s="5"/>
      <c r="K1023" s="8" t="str">
        <f>IF(AND(H1023&gt;0,J1023&gt;0),(J1023-H1023)/H1023,"")</f>
        <v/>
      </c>
      <c r="L1023" s="5"/>
      <c r="M1023" s="8" t="str">
        <f>IF(AND(J1023&gt;0,L1023&gt;0),(L1023-J1023)/J1023,IF(AND(H1023&gt;0,L1023&gt;0),(L1023-H1023)/H1023,""))</f>
        <v/>
      </c>
      <c r="N1023" s="6">
        <v>45848</v>
      </c>
      <c r="O1023" s="5">
        <v>1122.73</v>
      </c>
      <c r="P1023" s="8" t="str">
        <f>IF(AND(L1023&gt;0,O1023&gt;0),(O1023-L1023)/L1023,"")</f>
        <v/>
      </c>
      <c r="Q1023" s="9">
        <v>135</v>
      </c>
      <c r="R1023" s="9">
        <v>2</v>
      </c>
      <c r="S1023" s="10">
        <f>IF(N1023&gt;0,TODAY()-N1023,"")</f>
        <v>263</v>
      </c>
    </row>
    <row r="1024" ht="17" customHeight="1" spans="1:19" x14ac:dyDescent="0.25">
      <c r="A1024" s="11" t="s">
        <v>1934</v>
      </c>
      <c r="B1024" s="11" t="s">
        <v>1935</v>
      </c>
      <c r="C1024" s="11" t="s">
        <v>2070</v>
      </c>
      <c r="D1024" s="11" t="s">
        <v>2071</v>
      </c>
      <c r="E1024" s="12">
        <v>4</v>
      </c>
      <c r="F1024" s="13">
        <v>495</v>
      </c>
      <c r="G1024" s="14">
        <v>45762</v>
      </c>
      <c r="H1024" s="13">
        <v>325</v>
      </c>
      <c r="I1024" s="15" t="s">
        <v>24</v>
      </c>
      <c r="J1024" s="13"/>
      <c r="K1024" s="16" t="str">
        <f>IF(AND(H1024&gt;0,J1024&gt;0),(J1024-H1024)/H1024,"")</f>
        <v/>
      </c>
      <c r="L1024" s="13"/>
      <c r="M1024" s="16" t="str">
        <f>IF(AND(J1024&gt;0,L1024&gt;0),(L1024-J1024)/J1024,IF(AND(H1024&gt;0,L1024&gt;0),(L1024-H1024)/H1024,""))</f>
        <v/>
      </c>
      <c r="N1024" s="14">
        <v>45810</v>
      </c>
      <c r="O1024" s="13">
        <v>97.51</v>
      </c>
      <c r="P1024" s="16" t="str">
        <f>IF(AND(L1024&gt;0,O1024&gt;0),(O1024-L1024)/L1024,"")</f>
        <v/>
      </c>
      <c r="Q1024" s="18">
        <v>48</v>
      </c>
      <c r="R1024" s="18">
        <v>2</v>
      </c>
      <c r="S1024" s="10">
        <f>IF(N1024&gt;0,TODAY()-N1024,"")</f>
        <v>301</v>
      </c>
    </row>
    <row r="1025" ht="17" customHeight="1" spans="1:19" x14ac:dyDescent="0.25">
      <c r="A1025" s="3" t="s">
        <v>1934</v>
      </c>
      <c r="B1025" s="3" t="s">
        <v>1935</v>
      </c>
      <c r="C1025" s="3" t="s">
        <v>2072</v>
      </c>
      <c r="D1025" s="3" t="s">
        <v>2073</v>
      </c>
      <c r="E1025" s="4">
        <v>2</v>
      </c>
      <c r="F1025" s="5">
        <v>600</v>
      </c>
      <c r="G1025" s="6">
        <v>45730</v>
      </c>
      <c r="H1025" s="5">
        <v>297.92</v>
      </c>
      <c r="I1025" s="7" t="s">
        <v>24</v>
      </c>
      <c r="J1025" s="5"/>
      <c r="K1025" s="8" t="str">
        <f>IF(AND(H1025&gt;0,J1025&gt;0),(J1025-H1025)/H1025,"")</f>
        <v/>
      </c>
      <c r="L1025" s="5"/>
      <c r="M1025" s="8" t="str">
        <f>IF(AND(J1025&gt;0,L1025&gt;0),(L1025-J1025)/J1025,IF(AND(H1025&gt;0,L1025&gt;0),(L1025-H1025)/H1025,""))</f>
        <v/>
      </c>
      <c r="N1025" s="6">
        <v>45845</v>
      </c>
      <c r="O1025" s="5">
        <v>352.08</v>
      </c>
      <c r="P1025" s="8" t="str">
        <f>IF(AND(L1025&gt;0,O1025&gt;0),(O1025-L1025)/L1025,"")</f>
        <v/>
      </c>
      <c r="Q1025" s="9">
        <v>115</v>
      </c>
      <c r="R1025" s="9">
        <v>2</v>
      </c>
      <c r="S1025" s="10">
        <f>IF(N1025&gt;0,TODAY()-N1025,"")</f>
        <v>266</v>
      </c>
    </row>
    <row r="1026" ht="17" customHeight="1" spans="1:19" x14ac:dyDescent="0.25">
      <c r="A1026" s="11" t="s">
        <v>1934</v>
      </c>
      <c r="B1026" s="11" t="s">
        <v>1935</v>
      </c>
      <c r="C1026" s="11" t="s">
        <v>2074</v>
      </c>
      <c r="D1026" s="11" t="s">
        <v>2075</v>
      </c>
      <c r="E1026" s="12">
        <v>2</v>
      </c>
      <c r="F1026" s="13">
        <v>1100</v>
      </c>
      <c r="G1026" s="14">
        <v>45848</v>
      </c>
      <c r="H1026" s="13">
        <v>595.83</v>
      </c>
      <c r="I1026" s="15" t="s">
        <v>24</v>
      </c>
      <c r="J1026" s="13"/>
      <c r="K1026" s="16" t="str">
        <f>IF(AND(H1026&gt;0,J1026&gt;0),(J1026-H1026)/H1026,"")</f>
        <v/>
      </c>
      <c r="L1026" s="13"/>
      <c r="M1026" s="16" t="str">
        <f>IF(AND(J1026&gt;0,L1026&gt;0),(L1026-J1026)/J1026,IF(AND(H1026&gt;0,L1026&gt;0),(L1026-H1026)/H1026,""))</f>
        <v/>
      </c>
      <c r="N1026" s="14">
        <v>45848</v>
      </c>
      <c r="O1026" s="13">
        <v>595.83</v>
      </c>
      <c r="P1026" s="16" t="str">
        <f>IF(AND(L1026&gt;0,O1026&gt;0),(O1026-L1026)/L1026,"")</f>
        <v/>
      </c>
      <c r="Q1026" s="18"/>
      <c r="R1026" s="18">
        <v>1</v>
      </c>
      <c r="S1026" s="10">
        <f>IF(N1026&gt;0,TODAY()-N1026,"")</f>
        <v>263</v>
      </c>
    </row>
    <row r="1027" ht="17" customHeight="1" spans="1:19" x14ac:dyDescent="0.25">
      <c r="A1027" s="3" t="s">
        <v>1934</v>
      </c>
      <c r="B1027" s="3" t="s">
        <v>1935</v>
      </c>
      <c r="C1027" s="3" t="s">
        <v>2076</v>
      </c>
      <c r="D1027" s="3" t="s">
        <v>2077</v>
      </c>
      <c r="E1027" s="4">
        <v>8</v>
      </c>
      <c r="F1027" s="5">
        <v>800</v>
      </c>
      <c r="G1027" s="6">
        <v>45754</v>
      </c>
      <c r="H1027" s="5">
        <v>472.73</v>
      </c>
      <c r="I1027" s="7" t="s">
        <v>24</v>
      </c>
      <c r="J1027" s="5"/>
      <c r="K1027" s="8" t="str">
        <f>IF(AND(H1027&gt;0,J1027&gt;0),(J1027-H1027)/H1027,"")</f>
        <v/>
      </c>
      <c r="L1027" s="5"/>
      <c r="M1027" s="8" t="str">
        <f>IF(AND(J1027&gt;0,L1027&gt;0),(L1027-J1027)/J1027,IF(AND(H1027&gt;0,L1027&gt;0),(L1027-H1027)/H1027,""))</f>
        <v/>
      </c>
      <c r="N1027" s="6">
        <v>45824</v>
      </c>
      <c r="O1027" s="5">
        <v>472.73</v>
      </c>
      <c r="P1027" s="8" t="str">
        <f>IF(AND(L1027&gt;0,O1027&gt;0),(O1027-L1027)/L1027,"")</f>
        <v/>
      </c>
      <c r="Q1027" s="9">
        <v>18</v>
      </c>
      <c r="R1027" s="9">
        <v>5</v>
      </c>
      <c r="S1027" s="10">
        <f>IF(N1027&gt;0,TODAY()-N1027,"")</f>
        <v>287</v>
      </c>
    </row>
    <row r="1028" ht="17" customHeight="1" spans="1:19" x14ac:dyDescent="0.25">
      <c r="A1028" s="11" t="s">
        <v>1934</v>
      </c>
      <c r="B1028" s="11" t="s">
        <v>1935</v>
      </c>
      <c r="C1028" s="11" t="s">
        <v>2078</v>
      </c>
      <c r="D1028" s="11" t="s">
        <v>2079</v>
      </c>
      <c r="E1028" s="12">
        <v>1</v>
      </c>
      <c r="F1028" s="13">
        <v>3500</v>
      </c>
      <c r="G1028" s="14">
        <v>45772</v>
      </c>
      <c r="H1028" s="13">
        <v>2068.18</v>
      </c>
      <c r="I1028" s="15" t="s">
        <v>24</v>
      </c>
      <c r="J1028" s="13"/>
      <c r="K1028" s="16" t="str">
        <f>IF(AND(H1028&gt;0,J1028&gt;0),(J1028-H1028)/H1028,"")</f>
        <v/>
      </c>
      <c r="L1028" s="13"/>
      <c r="M1028" s="16" t="str">
        <f>IF(AND(J1028&gt;0,L1028&gt;0),(L1028-J1028)/J1028,IF(AND(H1028&gt;0,L1028&gt;0),(L1028-H1028)/H1028,""))</f>
        <v/>
      </c>
      <c r="N1028" s="14">
        <v>45772</v>
      </c>
      <c r="O1028" s="13">
        <v>2068.18</v>
      </c>
      <c r="P1028" s="16" t="str">
        <f>IF(AND(L1028&gt;0,O1028&gt;0),(O1028-L1028)/L1028,"")</f>
        <v/>
      </c>
      <c r="Q1028" s="18"/>
      <c r="R1028" s="18">
        <v>1</v>
      </c>
      <c r="S1028" s="10">
        <f>IF(N1028&gt;0,TODAY()-N1028,"")</f>
        <v>339</v>
      </c>
    </row>
    <row r="1029" ht="17" customHeight="1" spans="1:19" x14ac:dyDescent="0.25">
      <c r="A1029" s="3" t="s">
        <v>1934</v>
      </c>
      <c r="B1029" s="3" t="s">
        <v>1935</v>
      </c>
      <c r="C1029" s="3" t="s">
        <v>2080</v>
      </c>
      <c r="D1029" s="3" t="s">
        <v>2081</v>
      </c>
      <c r="E1029" s="4">
        <v>10</v>
      </c>
      <c r="F1029" s="5">
        <v>1030.178</v>
      </c>
      <c r="G1029" s="6">
        <v>45925</v>
      </c>
      <c r="H1029" s="5">
        <v>1030.18</v>
      </c>
      <c r="I1029" s="7" t="s">
        <v>24</v>
      </c>
      <c r="J1029" s="5"/>
      <c r="K1029" s="8" t="str">
        <f>IF(AND(H1029&gt;0,J1029&gt;0),(J1029-H1029)/H1029,"")</f>
        <v/>
      </c>
      <c r="L1029" s="5"/>
      <c r="M1029" s="8" t="str">
        <f>IF(AND(J1029&gt;0,L1029&gt;0),(L1029-J1029)/J1029,IF(AND(H1029&gt;0,L1029&gt;0),(L1029-H1029)/H1029,""))</f>
        <v/>
      </c>
      <c r="N1029" s="6">
        <v>45925</v>
      </c>
      <c r="O1029" s="5">
        <v>1030.18</v>
      </c>
      <c r="P1029" s="8" t="str">
        <f>IF(AND(L1029&gt;0,O1029&gt;0),(O1029-L1029)/L1029,"")</f>
        <v/>
      </c>
      <c r="Q1029" s="9"/>
      <c r="R1029" s="9">
        <v>1</v>
      </c>
      <c r="S1029" s="10">
        <f>IF(N1029&gt;0,TODAY()-N1029,"")</f>
        <v>186</v>
      </c>
    </row>
    <row r="1030" ht="17" customHeight="1" spans="1:19" x14ac:dyDescent="0.25">
      <c r="A1030" s="11" t="s">
        <v>1934</v>
      </c>
      <c r="B1030" s="11" t="s">
        <v>1935</v>
      </c>
      <c r="C1030" s="11" t="s">
        <v>2082</v>
      </c>
      <c r="D1030" s="11" t="s">
        <v>2083</v>
      </c>
      <c r="E1030" s="12">
        <v>7</v>
      </c>
      <c r="F1030" s="13">
        <v>2432.4842857142858</v>
      </c>
      <c r="G1030" s="14">
        <v>45925</v>
      </c>
      <c r="H1030" s="13">
        <v>2399.61</v>
      </c>
      <c r="I1030" s="15" t="s">
        <v>60</v>
      </c>
      <c r="J1030" s="13">
        <v>2445.63</v>
      </c>
      <c r="K1030" s="17">
        <f>IF(AND(H1030&gt;0,J1030&gt;0),(J1030-H1030)/H1030,"")</f>
        <v>0.01917811644392213</v>
      </c>
      <c r="L1030" s="13"/>
      <c r="M1030" s="16" t="str">
        <f>IF(AND(J1030&gt;0,L1030&gt;0),(L1030-J1030)/J1030,IF(AND(H1030&gt;0,L1030&gt;0),(L1030-H1030)/H1030,""))</f>
        <v/>
      </c>
      <c r="N1030" s="14">
        <v>45978</v>
      </c>
      <c r="O1030" s="13">
        <v>2445.63</v>
      </c>
      <c r="P1030" s="16" t="str">
        <f>IF(AND(L1030&gt;0,O1030&gt;0),(O1030-L1030)/L1030,"")</f>
        <v/>
      </c>
      <c r="Q1030" s="18">
        <v>53</v>
      </c>
      <c r="R1030" s="18">
        <v>2</v>
      </c>
      <c r="S1030" s="21">
        <f>IF(N1030&gt;0,TODAY()-N1030,"")</f>
        <v>133</v>
      </c>
    </row>
    <row r="1031" ht="17" customHeight="1" spans="1:19" x14ac:dyDescent="0.25">
      <c r="A1031" s="3" t="s">
        <v>1934</v>
      </c>
      <c r="B1031" s="3" t="s">
        <v>1935</v>
      </c>
      <c r="C1031" s="3" t="s">
        <v>2084</v>
      </c>
      <c r="D1031" s="3" t="s">
        <v>2085</v>
      </c>
      <c r="E1031" s="4">
        <v>8</v>
      </c>
      <c r="F1031" s="5">
        <v>1200</v>
      </c>
      <c r="G1031" s="6">
        <v>45742</v>
      </c>
      <c r="H1031" s="5">
        <v>709.09</v>
      </c>
      <c r="I1031" s="7" t="s">
        <v>24</v>
      </c>
      <c r="J1031" s="5"/>
      <c r="K1031" s="8" t="str">
        <f>IF(AND(H1031&gt;0,J1031&gt;0),(J1031-H1031)/H1031,"")</f>
        <v/>
      </c>
      <c r="L1031" s="5"/>
      <c r="M1031" s="8" t="str">
        <f>IF(AND(J1031&gt;0,L1031&gt;0),(L1031-J1031)/J1031,IF(AND(H1031&gt;0,L1031&gt;0),(L1031-H1031)/H1031,""))</f>
        <v/>
      </c>
      <c r="N1031" s="6">
        <v>45824</v>
      </c>
      <c r="O1031" s="5">
        <v>709.09</v>
      </c>
      <c r="P1031" s="8" t="str">
        <f>IF(AND(L1031&gt;0,O1031&gt;0),(O1031-L1031)/L1031,"")</f>
        <v/>
      </c>
      <c r="Q1031" s="9">
        <v>21</v>
      </c>
      <c r="R1031" s="9">
        <v>5</v>
      </c>
      <c r="S1031" s="10">
        <f>IF(N1031&gt;0,TODAY()-N1031,"")</f>
        <v>287</v>
      </c>
    </row>
    <row r="1032" ht="17" customHeight="1" spans="1:19" x14ac:dyDescent="0.25">
      <c r="A1032" s="11" t="s">
        <v>1934</v>
      </c>
      <c r="B1032" s="11" t="s">
        <v>1935</v>
      </c>
      <c r="C1032" s="11" t="s">
        <v>2086</v>
      </c>
      <c r="D1032" s="11" t="s">
        <v>2087</v>
      </c>
      <c r="E1032" s="12">
        <v>2</v>
      </c>
      <c r="F1032" s="13">
        <v>1200</v>
      </c>
      <c r="G1032" s="14">
        <v>45824</v>
      </c>
      <c r="H1032" s="13">
        <v>709.09</v>
      </c>
      <c r="I1032" s="15" t="s">
        <v>24</v>
      </c>
      <c r="J1032" s="13"/>
      <c r="K1032" s="16" t="str">
        <f>IF(AND(H1032&gt;0,J1032&gt;0),(J1032-H1032)/H1032,"")</f>
        <v/>
      </c>
      <c r="L1032" s="13"/>
      <c r="M1032" s="16" t="str">
        <f>IF(AND(J1032&gt;0,L1032&gt;0),(L1032-J1032)/J1032,IF(AND(H1032&gt;0,L1032&gt;0),(L1032-H1032)/H1032,""))</f>
        <v/>
      </c>
      <c r="N1032" s="14">
        <v>45824</v>
      </c>
      <c r="O1032" s="13">
        <v>709.09</v>
      </c>
      <c r="P1032" s="16" t="str">
        <f>IF(AND(L1032&gt;0,O1032&gt;0),(O1032-L1032)/L1032,"")</f>
        <v/>
      </c>
      <c r="Q1032" s="18"/>
      <c r="R1032" s="18">
        <v>1</v>
      </c>
      <c r="S1032" s="10">
        <f>IF(N1032&gt;0,TODAY()-N1032,"")</f>
        <v>287</v>
      </c>
    </row>
    <row r="1033" ht="17" customHeight="1" spans="1:19" x14ac:dyDescent="0.25">
      <c r="A1033" s="3" t="s">
        <v>1934</v>
      </c>
      <c r="B1033" s="3" t="s">
        <v>1935</v>
      </c>
      <c r="C1033" s="3" t="s">
        <v>2088</v>
      </c>
      <c r="D1033" s="3" t="s">
        <v>2089</v>
      </c>
      <c r="E1033" s="4">
        <v>4</v>
      </c>
      <c r="F1033" s="5">
        <v>450</v>
      </c>
      <c r="G1033" s="6">
        <v>45754</v>
      </c>
      <c r="H1033" s="5">
        <v>243.75</v>
      </c>
      <c r="I1033" s="7" t="s">
        <v>24</v>
      </c>
      <c r="J1033" s="5"/>
      <c r="K1033" s="8" t="str">
        <f>IF(AND(H1033&gt;0,J1033&gt;0),(J1033-H1033)/H1033,"")</f>
        <v/>
      </c>
      <c r="L1033" s="5"/>
      <c r="M1033" s="8" t="str">
        <f>IF(AND(J1033&gt;0,L1033&gt;0),(L1033-J1033)/J1033,IF(AND(H1033&gt;0,L1033&gt;0),(L1033-H1033)/H1033,""))</f>
        <v/>
      </c>
      <c r="N1033" s="6">
        <v>45824</v>
      </c>
      <c r="O1033" s="5">
        <v>243.75</v>
      </c>
      <c r="P1033" s="8" t="str">
        <f>IF(AND(L1033&gt;0,O1033&gt;0),(O1033-L1033)/L1033,"")</f>
        <v/>
      </c>
      <c r="Q1033" s="9">
        <v>35</v>
      </c>
      <c r="R1033" s="9">
        <v>3</v>
      </c>
      <c r="S1033" s="10">
        <f>IF(N1033&gt;0,TODAY()-N1033,"")</f>
        <v>287</v>
      </c>
    </row>
    <row r="1034" ht="17" customHeight="1" spans="1:19" x14ac:dyDescent="0.25">
      <c r="A1034" s="11" t="s">
        <v>1934</v>
      </c>
      <c r="B1034" s="11" t="s">
        <v>1935</v>
      </c>
      <c r="C1034" s="11" t="s">
        <v>2090</v>
      </c>
      <c r="D1034" s="11" t="s">
        <v>2091</v>
      </c>
      <c r="E1034" s="12">
        <v>1</v>
      </c>
      <c r="F1034" s="13">
        <v>450</v>
      </c>
      <c r="G1034" s="14">
        <v>45713</v>
      </c>
      <c r="H1034" s="13">
        <v>243.75</v>
      </c>
      <c r="I1034" s="15" t="s">
        <v>24</v>
      </c>
      <c r="J1034" s="13"/>
      <c r="K1034" s="16" t="str">
        <f>IF(AND(H1034&gt;0,J1034&gt;0),(J1034-H1034)/H1034,"")</f>
        <v/>
      </c>
      <c r="L1034" s="13"/>
      <c r="M1034" s="16" t="str">
        <f>IF(AND(J1034&gt;0,L1034&gt;0),(L1034-J1034)/J1034,IF(AND(H1034&gt;0,L1034&gt;0),(L1034-H1034)/H1034,""))</f>
        <v/>
      </c>
      <c r="N1034" s="14">
        <v>45713</v>
      </c>
      <c r="O1034" s="13">
        <v>243.75</v>
      </c>
      <c r="P1034" s="16" t="str">
        <f>IF(AND(L1034&gt;0,O1034&gt;0),(O1034-L1034)/L1034,"")</f>
        <v/>
      </c>
      <c r="Q1034" s="18"/>
      <c r="R1034" s="18">
        <v>1</v>
      </c>
      <c r="S1034" s="10">
        <f>IF(N1034&gt;0,TODAY()-N1034,"")</f>
        <v>398</v>
      </c>
    </row>
    <row r="1035" ht="17" customHeight="1" spans="1:19" x14ac:dyDescent="0.25">
      <c r="A1035" s="3" t="s">
        <v>1934</v>
      </c>
      <c r="B1035" s="3" t="s">
        <v>1935</v>
      </c>
      <c r="C1035" s="3" t="s">
        <v>2092</v>
      </c>
      <c r="D1035" s="3" t="s">
        <v>2093</v>
      </c>
      <c r="E1035" s="4">
        <v>1</v>
      </c>
      <c r="F1035" s="5">
        <v>599</v>
      </c>
      <c r="G1035" s="6">
        <v>45684</v>
      </c>
      <c r="H1035" s="5">
        <v>599</v>
      </c>
      <c r="I1035" s="7" t="s">
        <v>24</v>
      </c>
      <c r="J1035" s="5"/>
      <c r="K1035" s="8" t="str">
        <f>IF(AND(H1035&gt;0,J1035&gt;0),(J1035-H1035)/H1035,"")</f>
        <v/>
      </c>
      <c r="L1035" s="5"/>
      <c r="M1035" s="8" t="str">
        <f>IF(AND(J1035&gt;0,L1035&gt;0),(L1035-J1035)/J1035,IF(AND(H1035&gt;0,L1035&gt;0),(L1035-H1035)/H1035,""))</f>
        <v/>
      </c>
      <c r="N1035" s="6">
        <v>45684</v>
      </c>
      <c r="O1035" s="5">
        <v>599</v>
      </c>
      <c r="P1035" s="8" t="str">
        <f>IF(AND(L1035&gt;0,O1035&gt;0),(O1035-L1035)/L1035,"")</f>
        <v/>
      </c>
      <c r="Q1035" s="9"/>
      <c r="R1035" s="9">
        <v>1</v>
      </c>
      <c r="S1035" s="10">
        <f>IF(N1035&gt;0,TODAY()-N1035,"")</f>
        <v>427</v>
      </c>
    </row>
    <row r="1036" ht="17" customHeight="1" spans="1:19" x14ac:dyDescent="0.25">
      <c r="A1036" s="11" t="s">
        <v>1934</v>
      </c>
      <c r="B1036" s="11" t="s">
        <v>1935</v>
      </c>
      <c r="C1036" s="11" t="s">
        <v>2094</v>
      </c>
      <c r="D1036" s="11" t="s">
        <v>2095</v>
      </c>
      <c r="E1036" s="12">
        <v>1</v>
      </c>
      <c r="F1036" s="13">
        <v>6500</v>
      </c>
      <c r="G1036" s="14">
        <v>45713</v>
      </c>
      <c r="H1036" s="13">
        <v>3840.91</v>
      </c>
      <c r="I1036" s="15" t="s">
        <v>24</v>
      </c>
      <c r="J1036" s="13"/>
      <c r="K1036" s="16" t="str">
        <f>IF(AND(H1036&gt;0,J1036&gt;0),(J1036-H1036)/H1036,"")</f>
        <v/>
      </c>
      <c r="L1036" s="13"/>
      <c r="M1036" s="16" t="str">
        <f>IF(AND(J1036&gt;0,L1036&gt;0),(L1036-J1036)/J1036,IF(AND(H1036&gt;0,L1036&gt;0),(L1036-H1036)/H1036,""))</f>
        <v/>
      </c>
      <c r="N1036" s="14">
        <v>45713</v>
      </c>
      <c r="O1036" s="13">
        <v>3840.91</v>
      </c>
      <c r="P1036" s="16" t="str">
        <f>IF(AND(L1036&gt;0,O1036&gt;0),(O1036-L1036)/L1036,"")</f>
        <v/>
      </c>
      <c r="Q1036" s="18"/>
      <c r="R1036" s="18">
        <v>1</v>
      </c>
      <c r="S1036" s="10">
        <f>IF(N1036&gt;0,TODAY()-N1036,"")</f>
        <v>398</v>
      </c>
    </row>
    <row r="1037" ht="17" customHeight="1" spans="1:19" x14ac:dyDescent="0.25">
      <c r="A1037" s="3" t="s">
        <v>1934</v>
      </c>
      <c r="B1037" s="3" t="s">
        <v>1935</v>
      </c>
      <c r="C1037" s="3" t="s">
        <v>2096</v>
      </c>
      <c r="D1037" s="3" t="s">
        <v>2097</v>
      </c>
      <c r="E1037" s="4">
        <v>1</v>
      </c>
      <c r="F1037" s="5">
        <v>362.5</v>
      </c>
      <c r="G1037" s="6">
        <v>45684</v>
      </c>
      <c r="H1037" s="5">
        <v>362.5</v>
      </c>
      <c r="I1037" s="7" t="s">
        <v>24</v>
      </c>
      <c r="J1037" s="5"/>
      <c r="K1037" s="8" t="str">
        <f>IF(AND(H1037&gt;0,J1037&gt;0),(J1037-H1037)/H1037,"")</f>
        <v/>
      </c>
      <c r="L1037" s="5"/>
      <c r="M1037" s="8" t="str">
        <f>IF(AND(J1037&gt;0,L1037&gt;0),(L1037-J1037)/J1037,IF(AND(H1037&gt;0,L1037&gt;0),(L1037-H1037)/H1037,""))</f>
        <v/>
      </c>
      <c r="N1037" s="6">
        <v>45684</v>
      </c>
      <c r="O1037" s="5">
        <v>362.5</v>
      </c>
      <c r="P1037" s="8" t="str">
        <f>IF(AND(L1037&gt;0,O1037&gt;0),(O1037-L1037)/L1037,"")</f>
        <v/>
      </c>
      <c r="Q1037" s="9"/>
      <c r="R1037" s="9">
        <v>1</v>
      </c>
      <c r="S1037" s="10">
        <f>IF(N1037&gt;0,TODAY()-N1037,"")</f>
        <v>427</v>
      </c>
    </row>
    <row r="1038" ht="17" customHeight="1" spans="1:19" x14ac:dyDescent="0.25">
      <c r="A1038" s="11" t="s">
        <v>1934</v>
      </c>
      <c r="B1038" s="11" t="s">
        <v>1935</v>
      </c>
      <c r="C1038" s="11" t="s">
        <v>2098</v>
      </c>
      <c r="D1038" s="11" t="s">
        <v>2099</v>
      </c>
      <c r="E1038" s="12">
        <v>5</v>
      </c>
      <c r="F1038" s="13">
        <v>250</v>
      </c>
      <c r="G1038" s="14">
        <v>45790</v>
      </c>
      <c r="H1038" s="13">
        <v>135.42</v>
      </c>
      <c r="I1038" s="15" t="s">
        <v>24</v>
      </c>
      <c r="J1038" s="13"/>
      <c r="K1038" s="16" t="str">
        <f>IF(AND(H1038&gt;0,J1038&gt;0),(J1038-H1038)/H1038,"")</f>
        <v/>
      </c>
      <c r="L1038" s="13"/>
      <c r="M1038" s="16" t="str">
        <f>IF(AND(J1038&gt;0,L1038&gt;0),(L1038-J1038)/J1038,IF(AND(H1038&gt;0,L1038&gt;0),(L1038-H1038)/H1038,""))</f>
        <v/>
      </c>
      <c r="N1038" s="14">
        <v>45790</v>
      </c>
      <c r="O1038" s="13">
        <v>135.42</v>
      </c>
      <c r="P1038" s="16" t="str">
        <f>IF(AND(L1038&gt;0,O1038&gt;0),(O1038-L1038)/L1038,"")</f>
        <v/>
      </c>
      <c r="Q1038" s="18"/>
      <c r="R1038" s="18">
        <v>1</v>
      </c>
      <c r="S1038" s="10">
        <f>IF(N1038&gt;0,TODAY()-N1038,"")</f>
        <v>321</v>
      </c>
    </row>
    <row r="1039" ht="17" customHeight="1" spans="1:19" x14ac:dyDescent="0.25">
      <c r="A1039" s="3" t="s">
        <v>1934</v>
      </c>
      <c r="B1039" s="3" t="s">
        <v>1935</v>
      </c>
      <c r="C1039" s="3" t="s">
        <v>2100</v>
      </c>
      <c r="D1039" s="3" t="s">
        <v>2101</v>
      </c>
      <c r="E1039" s="4">
        <v>4</v>
      </c>
      <c r="F1039" s="5">
        <v>275</v>
      </c>
      <c r="G1039" s="6">
        <v>45713</v>
      </c>
      <c r="H1039" s="5">
        <v>135.42</v>
      </c>
      <c r="I1039" s="7" t="s">
        <v>24</v>
      </c>
      <c r="J1039" s="5"/>
      <c r="K1039" s="8" t="str">
        <f>IF(AND(H1039&gt;0,J1039&gt;0),(J1039-H1039)/H1039,"")</f>
        <v/>
      </c>
      <c r="L1039" s="5"/>
      <c r="M1039" s="8" t="str">
        <f>IF(AND(J1039&gt;0,L1039&gt;0),(L1039-J1039)/J1039,IF(AND(H1039&gt;0,L1039&gt;0),(L1039-H1039)/H1039,""))</f>
        <v/>
      </c>
      <c r="N1039" s="6">
        <v>45845</v>
      </c>
      <c r="O1039" s="5">
        <v>189.58</v>
      </c>
      <c r="P1039" s="8" t="str">
        <f>IF(AND(L1039&gt;0,O1039&gt;0),(O1039-L1039)/L1039,"")</f>
        <v/>
      </c>
      <c r="Q1039" s="9">
        <v>66</v>
      </c>
      <c r="R1039" s="9">
        <v>3</v>
      </c>
      <c r="S1039" s="10">
        <f>IF(N1039&gt;0,TODAY()-N1039,"")</f>
        <v>266</v>
      </c>
    </row>
    <row r="1040" ht="17" customHeight="1" spans="1:19" x14ac:dyDescent="0.25">
      <c r="A1040" s="11" t="s">
        <v>1934</v>
      </c>
      <c r="B1040" s="11" t="s">
        <v>1935</v>
      </c>
      <c r="C1040" s="11" t="s">
        <v>2102</v>
      </c>
      <c r="D1040" s="11" t="s">
        <v>2103</v>
      </c>
      <c r="E1040" s="12">
        <v>2</v>
      </c>
      <c r="F1040" s="13">
        <v>500</v>
      </c>
      <c r="G1040" s="14">
        <v>45848</v>
      </c>
      <c r="H1040" s="13">
        <v>270.83</v>
      </c>
      <c r="I1040" s="15" t="s">
        <v>24</v>
      </c>
      <c r="J1040" s="13"/>
      <c r="K1040" s="16" t="str">
        <f>IF(AND(H1040&gt;0,J1040&gt;0),(J1040-H1040)/H1040,"")</f>
        <v/>
      </c>
      <c r="L1040" s="13"/>
      <c r="M1040" s="16" t="str">
        <f>IF(AND(J1040&gt;0,L1040&gt;0),(L1040-J1040)/J1040,IF(AND(H1040&gt;0,L1040&gt;0),(L1040-H1040)/H1040,""))</f>
        <v/>
      </c>
      <c r="N1040" s="14">
        <v>45848</v>
      </c>
      <c r="O1040" s="13">
        <v>270.83</v>
      </c>
      <c r="P1040" s="16" t="str">
        <f>IF(AND(L1040&gt;0,O1040&gt;0),(O1040-L1040)/L1040,"")</f>
        <v/>
      </c>
      <c r="Q1040" s="18"/>
      <c r="R1040" s="18">
        <v>1</v>
      </c>
      <c r="S1040" s="10">
        <f>IF(N1040&gt;0,TODAY()-N1040,"")</f>
        <v>263</v>
      </c>
    </row>
    <row r="1041" ht="17" customHeight="1" spans="1:19" x14ac:dyDescent="0.25">
      <c r="A1041" s="3" t="s">
        <v>1934</v>
      </c>
      <c r="B1041" s="3" t="s">
        <v>1935</v>
      </c>
      <c r="C1041" s="3" t="s">
        <v>2104</v>
      </c>
      <c r="D1041" s="3" t="s">
        <v>2105</v>
      </c>
      <c r="E1041" s="4">
        <v>5</v>
      </c>
      <c r="F1041" s="5">
        <v>363.64</v>
      </c>
      <c r="G1041" s="6">
        <v>45727</v>
      </c>
      <c r="H1041" s="5">
        <v>363.64</v>
      </c>
      <c r="I1041" s="7" t="s">
        <v>24</v>
      </c>
      <c r="J1041" s="5"/>
      <c r="K1041" s="8" t="str">
        <f>IF(AND(H1041&gt;0,J1041&gt;0),(J1041-H1041)/H1041,"")</f>
        <v/>
      </c>
      <c r="L1041" s="5"/>
      <c r="M1041" s="8" t="str">
        <f>IF(AND(J1041&gt;0,L1041&gt;0),(L1041-J1041)/J1041,IF(AND(H1041&gt;0,L1041&gt;0),(L1041-H1041)/H1041,""))</f>
        <v/>
      </c>
      <c r="N1041" s="6">
        <v>45727</v>
      </c>
      <c r="O1041" s="5">
        <v>363.64</v>
      </c>
      <c r="P1041" s="8" t="str">
        <f>IF(AND(L1041&gt;0,O1041&gt;0),(O1041-L1041)/L1041,"")</f>
        <v/>
      </c>
      <c r="Q1041" s="9"/>
      <c r="R1041" s="9">
        <v>1</v>
      </c>
      <c r="S1041" s="10">
        <f>IF(N1041&gt;0,TODAY()-N1041,"")</f>
        <v>384</v>
      </c>
    </row>
    <row r="1042" ht="17" customHeight="1" spans="1:19" x14ac:dyDescent="0.25">
      <c r="A1042" s="11" t="s">
        <v>1934</v>
      </c>
      <c r="B1042" s="11" t="s">
        <v>1935</v>
      </c>
      <c r="C1042" s="11" t="s">
        <v>2106</v>
      </c>
      <c r="D1042" s="11" t="s">
        <v>2107</v>
      </c>
      <c r="E1042" s="12">
        <v>5</v>
      </c>
      <c r="F1042" s="13">
        <v>500</v>
      </c>
      <c r="G1042" s="14">
        <v>45727</v>
      </c>
      <c r="H1042" s="13">
        <v>500</v>
      </c>
      <c r="I1042" s="15" t="s">
        <v>24</v>
      </c>
      <c r="J1042" s="13"/>
      <c r="K1042" s="16" t="str">
        <f>IF(AND(H1042&gt;0,J1042&gt;0),(J1042-H1042)/H1042,"")</f>
        <v/>
      </c>
      <c r="L1042" s="13"/>
      <c r="M1042" s="16" t="str">
        <f>IF(AND(J1042&gt;0,L1042&gt;0),(L1042-J1042)/J1042,IF(AND(H1042&gt;0,L1042&gt;0),(L1042-H1042)/H1042,""))</f>
        <v/>
      </c>
      <c r="N1042" s="14">
        <v>45727</v>
      </c>
      <c r="O1042" s="13">
        <v>500</v>
      </c>
      <c r="P1042" s="16" t="str">
        <f>IF(AND(L1042&gt;0,O1042&gt;0),(O1042-L1042)/L1042,"")</f>
        <v/>
      </c>
      <c r="Q1042" s="18"/>
      <c r="R1042" s="18">
        <v>1</v>
      </c>
      <c r="S1042" s="10">
        <f>IF(N1042&gt;0,TODAY()-N1042,"")</f>
        <v>384</v>
      </c>
    </row>
    <row r="1043" ht="17" customHeight="1" spans="1:19" x14ac:dyDescent="0.25">
      <c r="A1043" s="3" t="s">
        <v>1934</v>
      </c>
      <c r="B1043" s="3" t="s">
        <v>1935</v>
      </c>
      <c r="C1043" s="3" t="s">
        <v>2108</v>
      </c>
      <c r="D1043" s="3" t="s">
        <v>2109</v>
      </c>
      <c r="E1043" s="4">
        <v>5</v>
      </c>
      <c r="F1043" s="5">
        <v>318.18</v>
      </c>
      <c r="G1043" s="6">
        <v>45727</v>
      </c>
      <c r="H1043" s="5">
        <v>318.18</v>
      </c>
      <c r="I1043" s="7" t="s">
        <v>24</v>
      </c>
      <c r="J1043" s="5"/>
      <c r="K1043" s="8" t="str">
        <f>IF(AND(H1043&gt;0,J1043&gt;0),(J1043-H1043)/H1043,"")</f>
        <v/>
      </c>
      <c r="L1043" s="5"/>
      <c r="M1043" s="8" t="str">
        <f>IF(AND(J1043&gt;0,L1043&gt;0),(L1043-J1043)/J1043,IF(AND(H1043&gt;0,L1043&gt;0),(L1043-H1043)/H1043,""))</f>
        <v/>
      </c>
      <c r="N1043" s="6">
        <v>45727</v>
      </c>
      <c r="O1043" s="5">
        <v>318.18</v>
      </c>
      <c r="P1043" s="8" t="str">
        <f>IF(AND(L1043&gt;0,O1043&gt;0),(O1043-L1043)/L1043,"")</f>
        <v/>
      </c>
      <c r="Q1043" s="9"/>
      <c r="R1043" s="9">
        <v>1</v>
      </c>
      <c r="S1043" s="10">
        <f>IF(N1043&gt;0,TODAY()-N1043,"")</f>
        <v>384</v>
      </c>
    </row>
    <row r="1044" ht="17" customHeight="1" spans="1:19" x14ac:dyDescent="0.25">
      <c r="A1044" s="11" t="s">
        <v>1934</v>
      </c>
      <c r="B1044" s="11" t="s">
        <v>1935</v>
      </c>
      <c r="C1044" s="11" t="s">
        <v>2110</v>
      </c>
      <c r="D1044" s="11" t="s">
        <v>2111</v>
      </c>
      <c r="E1044" s="12">
        <v>11</v>
      </c>
      <c r="F1044" s="13">
        <v>555.6363636363636</v>
      </c>
      <c r="G1044" s="14">
        <v>45722</v>
      </c>
      <c r="H1044" s="13">
        <v>534.5</v>
      </c>
      <c r="I1044" s="15" t="s">
        <v>57</v>
      </c>
      <c r="J1044" s="13">
        <v>581</v>
      </c>
      <c r="K1044" s="17">
        <f>IF(AND(H1044&gt;0,J1044&gt;0),(J1044-H1044)/H1044,"")</f>
        <v>0.08699719363891488</v>
      </c>
      <c r="L1044" s="13"/>
      <c r="M1044" s="16" t="str">
        <f>IF(AND(J1044&gt;0,L1044&gt;0),(L1044-J1044)/J1044,IF(AND(H1044&gt;0,L1044&gt;0),(L1044-H1044)/H1044,""))</f>
        <v/>
      </c>
      <c r="N1044" s="14">
        <v>45944</v>
      </c>
      <c r="O1044" s="13">
        <v>581</v>
      </c>
      <c r="P1044" s="16" t="str">
        <f>IF(AND(L1044&gt;0,O1044&gt;0),(O1044-L1044)/L1044,"")</f>
        <v/>
      </c>
      <c r="Q1044" s="18">
        <v>56</v>
      </c>
      <c r="R1044" s="18">
        <v>5</v>
      </c>
      <c r="S1044" s="21">
        <f>IF(N1044&gt;0,TODAY()-N1044,"")</f>
        <v>167</v>
      </c>
    </row>
    <row r="1045" ht="17" customHeight="1" spans="1:19" x14ac:dyDescent="0.25">
      <c r="A1045" s="3" t="s">
        <v>1934</v>
      </c>
      <c r="B1045" s="3" t="s">
        <v>1935</v>
      </c>
      <c r="C1045" s="3" t="s">
        <v>2112</v>
      </c>
      <c r="D1045" s="3" t="s">
        <v>2113</v>
      </c>
      <c r="E1045" s="4">
        <v>10</v>
      </c>
      <c r="F1045" s="5">
        <v>562.5</v>
      </c>
      <c r="G1045" s="6">
        <v>45868</v>
      </c>
      <c r="H1045" s="5">
        <v>562.5</v>
      </c>
      <c r="I1045" s="7" t="s">
        <v>24</v>
      </c>
      <c r="J1045" s="5"/>
      <c r="K1045" s="8" t="str">
        <f>IF(AND(H1045&gt;0,J1045&gt;0),(J1045-H1045)/H1045,"")</f>
        <v/>
      </c>
      <c r="L1045" s="5"/>
      <c r="M1045" s="8" t="str">
        <f>IF(AND(J1045&gt;0,L1045&gt;0),(L1045-J1045)/J1045,IF(AND(H1045&gt;0,L1045&gt;0),(L1045-H1045)/H1045,""))</f>
        <v/>
      </c>
      <c r="N1045" s="6">
        <v>45868</v>
      </c>
      <c r="O1045" s="5">
        <v>562.5</v>
      </c>
      <c r="P1045" s="8" t="str">
        <f>IF(AND(L1045&gt;0,O1045&gt;0),(O1045-L1045)/L1045,"")</f>
        <v/>
      </c>
      <c r="Q1045" s="9"/>
      <c r="R1045" s="9">
        <v>1</v>
      </c>
      <c r="S1045" s="10">
        <f>IF(N1045&gt;0,TODAY()-N1045,"")</f>
        <v>243</v>
      </c>
    </row>
    <row r="1046" ht="17" customHeight="1" spans="1:19" x14ac:dyDescent="0.25">
      <c r="A1046" s="11" t="s">
        <v>1934</v>
      </c>
      <c r="B1046" s="11" t="s">
        <v>1935</v>
      </c>
      <c r="C1046" s="11" t="s">
        <v>2114</v>
      </c>
      <c r="D1046" s="11" t="s">
        <v>2115</v>
      </c>
      <c r="E1046" s="12">
        <v>10</v>
      </c>
      <c r="F1046" s="13">
        <v>562.5</v>
      </c>
      <c r="G1046" s="14">
        <v>45868</v>
      </c>
      <c r="H1046" s="13">
        <v>562.5</v>
      </c>
      <c r="I1046" s="15" t="s">
        <v>24</v>
      </c>
      <c r="J1046" s="13"/>
      <c r="K1046" s="16" t="str">
        <f>IF(AND(H1046&gt;0,J1046&gt;0),(J1046-H1046)/H1046,"")</f>
        <v/>
      </c>
      <c r="L1046" s="13"/>
      <c r="M1046" s="16" t="str">
        <f>IF(AND(J1046&gt;0,L1046&gt;0),(L1046-J1046)/J1046,IF(AND(H1046&gt;0,L1046&gt;0),(L1046-H1046)/H1046,""))</f>
        <v/>
      </c>
      <c r="N1046" s="14">
        <v>45868</v>
      </c>
      <c r="O1046" s="13">
        <v>562.5</v>
      </c>
      <c r="P1046" s="16" t="str">
        <f>IF(AND(L1046&gt;0,O1046&gt;0),(O1046-L1046)/L1046,"")</f>
        <v/>
      </c>
      <c r="Q1046" s="18"/>
      <c r="R1046" s="18">
        <v>1</v>
      </c>
      <c r="S1046" s="10">
        <f>IF(N1046&gt;0,TODAY()-N1046,"")</f>
        <v>243</v>
      </c>
    </row>
    <row r="1047" ht="17" customHeight="1" spans="1:19" x14ac:dyDescent="0.25">
      <c r="A1047" s="3" t="s">
        <v>1934</v>
      </c>
      <c r="B1047" s="3" t="s">
        <v>1935</v>
      </c>
      <c r="C1047" s="3" t="s">
        <v>2116</v>
      </c>
      <c r="D1047" s="3" t="s">
        <v>2117</v>
      </c>
      <c r="E1047" s="4">
        <v>1</v>
      </c>
      <c r="F1047" s="5">
        <v>503.5</v>
      </c>
      <c r="G1047" s="6">
        <v>45684</v>
      </c>
      <c r="H1047" s="5">
        <v>503.5</v>
      </c>
      <c r="I1047" s="7" t="s">
        <v>24</v>
      </c>
      <c r="J1047" s="5"/>
      <c r="K1047" s="8" t="str">
        <f>IF(AND(H1047&gt;0,J1047&gt;0),(J1047-H1047)/H1047,"")</f>
        <v/>
      </c>
      <c r="L1047" s="5"/>
      <c r="M1047" s="8" t="str">
        <f>IF(AND(J1047&gt;0,L1047&gt;0),(L1047-J1047)/J1047,IF(AND(H1047&gt;0,L1047&gt;0),(L1047-H1047)/H1047,""))</f>
        <v/>
      </c>
      <c r="N1047" s="6">
        <v>45684</v>
      </c>
      <c r="O1047" s="5">
        <v>503.5</v>
      </c>
      <c r="P1047" s="8" t="str">
        <f>IF(AND(L1047&gt;0,O1047&gt;0),(O1047-L1047)/L1047,"")</f>
        <v/>
      </c>
      <c r="Q1047" s="9"/>
      <c r="R1047" s="9">
        <v>1</v>
      </c>
      <c r="S1047" s="10">
        <f>IF(N1047&gt;0,TODAY()-N1047,"")</f>
        <v>427</v>
      </c>
    </row>
    <row r="1048" ht="17" customHeight="1" spans="1:19" x14ac:dyDescent="0.25">
      <c r="A1048" s="11" t="s">
        <v>1934</v>
      </c>
      <c r="B1048" s="11" t="s">
        <v>1935</v>
      </c>
      <c r="C1048" s="11" t="s">
        <v>2118</v>
      </c>
      <c r="D1048" s="11" t="s">
        <v>2119</v>
      </c>
      <c r="E1048" s="12">
        <v>2</v>
      </c>
      <c r="F1048" s="13">
        <v>425</v>
      </c>
      <c r="G1048" s="14">
        <v>45713</v>
      </c>
      <c r="H1048" s="13">
        <v>216.67</v>
      </c>
      <c r="I1048" s="15" t="s">
        <v>24</v>
      </c>
      <c r="J1048" s="13"/>
      <c r="K1048" s="16" t="str">
        <f>IF(AND(H1048&gt;0,J1048&gt;0),(J1048-H1048)/H1048,"")</f>
        <v/>
      </c>
      <c r="L1048" s="13"/>
      <c r="M1048" s="16" t="str">
        <f>IF(AND(J1048&gt;0,L1048&gt;0),(L1048-J1048)/J1048,IF(AND(H1048&gt;0,L1048&gt;0),(L1048-H1048)/H1048,""))</f>
        <v/>
      </c>
      <c r="N1048" s="14">
        <v>45845</v>
      </c>
      <c r="O1048" s="13">
        <v>243.75</v>
      </c>
      <c r="P1048" s="16" t="str">
        <f>IF(AND(L1048&gt;0,O1048&gt;0),(O1048-L1048)/L1048,"")</f>
        <v/>
      </c>
      <c r="Q1048" s="18">
        <v>132</v>
      </c>
      <c r="R1048" s="18">
        <v>2</v>
      </c>
      <c r="S1048" s="10">
        <f>IF(N1048&gt;0,TODAY()-N1048,"")</f>
        <v>266</v>
      </c>
    </row>
    <row r="1049" ht="17" customHeight="1" spans="1:19" x14ac:dyDescent="0.25">
      <c r="A1049" s="3" t="s">
        <v>1934</v>
      </c>
      <c r="B1049" s="3" t="s">
        <v>1935</v>
      </c>
      <c r="C1049" s="3" t="s">
        <v>2120</v>
      </c>
      <c r="D1049" s="3" t="s">
        <v>2121</v>
      </c>
      <c r="E1049" s="4">
        <v>1</v>
      </c>
      <c r="F1049" s="5">
        <v>400</v>
      </c>
      <c r="G1049" s="6">
        <v>45730</v>
      </c>
      <c r="H1049" s="5">
        <v>260</v>
      </c>
      <c r="I1049" s="7" t="s">
        <v>24</v>
      </c>
      <c r="J1049" s="5"/>
      <c r="K1049" s="8" t="str">
        <f>IF(AND(H1049&gt;0,J1049&gt;0),(J1049-H1049)/H1049,"")</f>
        <v/>
      </c>
      <c r="L1049" s="5"/>
      <c r="M1049" s="8" t="str">
        <f>IF(AND(J1049&gt;0,L1049&gt;0),(L1049-J1049)/J1049,IF(AND(H1049&gt;0,L1049&gt;0),(L1049-H1049)/H1049,""))</f>
        <v/>
      </c>
      <c r="N1049" s="6">
        <v>45730</v>
      </c>
      <c r="O1049" s="5">
        <v>260</v>
      </c>
      <c r="P1049" s="8" t="str">
        <f>IF(AND(L1049&gt;0,O1049&gt;0),(O1049-L1049)/L1049,"")</f>
        <v/>
      </c>
      <c r="Q1049" s="9"/>
      <c r="R1049" s="9">
        <v>1</v>
      </c>
      <c r="S1049" s="10">
        <f>IF(N1049&gt;0,TODAY()-N1049,"")</f>
        <v>381</v>
      </c>
    </row>
    <row r="1050" ht="17" customHeight="1" spans="1:19" x14ac:dyDescent="0.25">
      <c r="A1050" s="11" t="s">
        <v>1934</v>
      </c>
      <c r="B1050" s="11" t="s">
        <v>1935</v>
      </c>
      <c r="C1050" s="11" t="s">
        <v>2122</v>
      </c>
      <c r="D1050" s="11" t="s">
        <v>2123</v>
      </c>
      <c r="E1050" s="12">
        <v>7</v>
      </c>
      <c r="F1050" s="13">
        <v>400</v>
      </c>
      <c r="G1050" s="14">
        <v>45706</v>
      </c>
      <c r="H1050" s="13">
        <v>216.67</v>
      </c>
      <c r="I1050" s="15" t="s">
        <v>24</v>
      </c>
      <c r="J1050" s="13"/>
      <c r="K1050" s="16" t="str">
        <f>IF(AND(H1050&gt;0,J1050&gt;0),(J1050-H1050)/H1050,"")</f>
        <v/>
      </c>
      <c r="L1050" s="13"/>
      <c r="M1050" s="16" t="str">
        <f>IF(AND(J1050&gt;0,L1050&gt;0),(L1050-J1050)/J1050,IF(AND(H1050&gt;0,L1050&gt;0),(L1050-H1050)/H1050,""))</f>
        <v/>
      </c>
      <c r="N1050" s="14">
        <v>45824</v>
      </c>
      <c r="O1050" s="13">
        <v>216.67</v>
      </c>
      <c r="P1050" s="16" t="str">
        <f>IF(AND(L1050&gt;0,O1050&gt;0),(O1050-L1050)/L1050,"")</f>
        <v/>
      </c>
      <c r="Q1050" s="18">
        <v>30</v>
      </c>
      <c r="R1050" s="18">
        <v>5</v>
      </c>
      <c r="S1050" s="10">
        <f>IF(N1050&gt;0,TODAY()-N1050,"")</f>
        <v>287</v>
      </c>
    </row>
    <row r="1051" ht="17" customHeight="1" spans="1:19" x14ac:dyDescent="0.25">
      <c r="A1051" s="3" t="s">
        <v>1934</v>
      </c>
      <c r="B1051" s="3" t="s">
        <v>1935</v>
      </c>
      <c r="C1051" s="3" t="s">
        <v>2124</v>
      </c>
      <c r="D1051" s="3" t="s">
        <v>2125</v>
      </c>
      <c r="E1051" s="4">
        <v>4</v>
      </c>
      <c r="F1051" s="5">
        <v>437.5</v>
      </c>
      <c r="G1051" s="6">
        <v>45730</v>
      </c>
      <c r="H1051" s="5">
        <v>260</v>
      </c>
      <c r="I1051" s="7" t="s">
        <v>24</v>
      </c>
      <c r="J1051" s="5"/>
      <c r="K1051" s="8" t="str">
        <f>IF(AND(H1051&gt;0,J1051&gt;0),(J1051-H1051)/H1051,"")</f>
        <v/>
      </c>
      <c r="L1051" s="5"/>
      <c r="M1051" s="8" t="str">
        <f>IF(AND(J1051&gt;0,L1051&gt;0),(L1051-J1051)/J1051,IF(AND(H1051&gt;0,L1051&gt;0),(L1051-H1051)/H1051,""))</f>
        <v/>
      </c>
      <c r="N1051" s="6">
        <v>45863</v>
      </c>
      <c r="O1051" s="5">
        <v>243.75</v>
      </c>
      <c r="P1051" s="8" t="str">
        <f>IF(AND(L1051&gt;0,O1051&gt;0),(O1051-L1051)/L1051,"")</f>
        <v/>
      </c>
      <c r="Q1051" s="9">
        <v>67</v>
      </c>
      <c r="R1051" s="9">
        <v>3</v>
      </c>
      <c r="S1051" s="10">
        <f>IF(N1051&gt;0,TODAY()-N1051,"")</f>
        <v>248</v>
      </c>
    </row>
    <row r="1052" ht="17" customHeight="1" spans="1:19" x14ac:dyDescent="0.25">
      <c r="A1052" s="11" t="s">
        <v>1934</v>
      </c>
      <c r="B1052" s="11" t="s">
        <v>1935</v>
      </c>
      <c r="C1052" s="11" t="s">
        <v>2126</v>
      </c>
      <c r="D1052" s="11" t="s">
        <v>2127</v>
      </c>
      <c r="E1052" s="12">
        <v>9</v>
      </c>
      <c r="F1052" s="13">
        <v>400</v>
      </c>
      <c r="G1052" s="14">
        <v>45706</v>
      </c>
      <c r="H1052" s="13">
        <v>216.66</v>
      </c>
      <c r="I1052" s="15" t="s">
        <v>24</v>
      </c>
      <c r="J1052" s="13"/>
      <c r="K1052" s="16" t="str">
        <f>IF(AND(H1052&gt;0,J1052&gt;0),(J1052-H1052)/H1052,"")</f>
        <v/>
      </c>
      <c r="L1052" s="13"/>
      <c r="M1052" s="16" t="str">
        <f>IF(AND(J1052&gt;0,L1052&gt;0),(L1052-J1052)/J1052,IF(AND(H1052&gt;0,L1052&gt;0),(L1052-H1052)/H1052,""))</f>
        <v/>
      </c>
      <c r="N1052" s="14">
        <v>45800</v>
      </c>
      <c r="O1052" s="13">
        <v>216.67</v>
      </c>
      <c r="P1052" s="16" t="str">
        <f>IF(AND(L1052&gt;0,O1052&gt;0),(O1052-L1052)/L1052,"")</f>
        <v/>
      </c>
      <c r="Q1052" s="18">
        <v>31</v>
      </c>
      <c r="R1052" s="18">
        <v>4</v>
      </c>
      <c r="S1052" s="10">
        <f>IF(N1052&gt;0,TODAY()-N1052,"")</f>
        <v>311</v>
      </c>
    </row>
    <row r="1053" ht="17" customHeight="1" spans="1:19" x14ac:dyDescent="0.25">
      <c r="A1053" s="3" t="s">
        <v>1934</v>
      </c>
      <c r="B1053" s="3" t="s">
        <v>1935</v>
      </c>
      <c r="C1053" s="3" t="s">
        <v>2128</v>
      </c>
      <c r="D1053" s="3" t="s">
        <v>2129</v>
      </c>
      <c r="E1053" s="4">
        <v>1</v>
      </c>
      <c r="F1053" s="5">
        <v>450</v>
      </c>
      <c r="G1053" s="6">
        <v>45845</v>
      </c>
      <c r="H1053" s="5">
        <v>243.75</v>
      </c>
      <c r="I1053" s="7" t="s">
        <v>24</v>
      </c>
      <c r="J1053" s="5"/>
      <c r="K1053" s="8" t="str">
        <f>IF(AND(H1053&gt;0,J1053&gt;0),(J1053-H1053)/H1053,"")</f>
        <v/>
      </c>
      <c r="L1053" s="5"/>
      <c r="M1053" s="8" t="str">
        <f>IF(AND(J1053&gt;0,L1053&gt;0),(L1053-J1053)/J1053,IF(AND(H1053&gt;0,L1053&gt;0),(L1053-H1053)/H1053,""))</f>
        <v/>
      </c>
      <c r="N1053" s="6">
        <v>45845</v>
      </c>
      <c r="O1053" s="5">
        <v>243.75</v>
      </c>
      <c r="P1053" s="8" t="str">
        <f>IF(AND(L1053&gt;0,O1053&gt;0),(O1053-L1053)/L1053,"")</f>
        <v/>
      </c>
      <c r="Q1053" s="9"/>
      <c r="R1053" s="9">
        <v>1</v>
      </c>
      <c r="S1053" s="10">
        <f>IF(N1053&gt;0,TODAY()-N1053,"")</f>
        <v>266</v>
      </c>
    </row>
    <row r="1054" ht="17" customHeight="1" spans="1:19" x14ac:dyDescent="0.25">
      <c r="A1054" s="11" t="s">
        <v>1934</v>
      </c>
      <c r="B1054" s="11" t="s">
        <v>1935</v>
      </c>
      <c r="C1054" s="11" t="s">
        <v>2130</v>
      </c>
      <c r="D1054" s="11" t="s">
        <v>2131</v>
      </c>
      <c r="E1054" s="12">
        <v>45</v>
      </c>
      <c r="F1054" s="13">
        <v>1031.248</v>
      </c>
      <c r="G1054" s="14">
        <v>45868</v>
      </c>
      <c r="H1054" s="13">
        <v>1031.25</v>
      </c>
      <c r="I1054" s="15" t="s">
        <v>57</v>
      </c>
      <c r="J1054" s="13">
        <v>1031.22</v>
      </c>
      <c r="K1054" s="25">
        <f>IF(AND(H1054&gt;0,J1054&gt;0),(J1054-H1054)/H1054,"")</f>
        <v>-0.00002909090909088263</v>
      </c>
      <c r="L1054" s="13"/>
      <c r="M1054" s="16" t="str">
        <f>IF(AND(J1054&gt;0,L1054&gt;0),(L1054-J1054)/J1054,IF(AND(H1054&gt;0,L1054&gt;0),(L1054-H1054)/H1054,""))</f>
        <v/>
      </c>
      <c r="N1054" s="14">
        <v>45939</v>
      </c>
      <c r="O1054" s="13">
        <v>1031.22</v>
      </c>
      <c r="P1054" s="16" t="str">
        <f>IF(AND(L1054&gt;0,O1054&gt;0),(O1054-L1054)/L1054,"")</f>
        <v/>
      </c>
      <c r="Q1054" s="18">
        <v>24</v>
      </c>
      <c r="R1054" s="18">
        <v>4</v>
      </c>
      <c r="S1054" s="21">
        <f>IF(N1054&gt;0,TODAY()-N1054,"")</f>
        <v>172</v>
      </c>
    </row>
    <row r="1055" ht="17" customHeight="1" spans="1:19" x14ac:dyDescent="0.25">
      <c r="A1055" s="3" t="s">
        <v>1934</v>
      </c>
      <c r="B1055" s="3" t="s">
        <v>1935</v>
      </c>
      <c r="C1055" s="3" t="s">
        <v>2132</v>
      </c>
      <c r="D1055" s="3" t="s">
        <v>2133</v>
      </c>
      <c r="E1055" s="4">
        <v>6</v>
      </c>
      <c r="F1055" s="5">
        <v>781.25</v>
      </c>
      <c r="G1055" s="6">
        <v>45882</v>
      </c>
      <c r="H1055" s="5">
        <v>781.25</v>
      </c>
      <c r="I1055" s="7" t="s">
        <v>24</v>
      </c>
      <c r="J1055" s="5"/>
      <c r="K1055" s="8" t="str">
        <f>IF(AND(H1055&gt;0,J1055&gt;0),(J1055-H1055)/H1055,"")</f>
        <v/>
      </c>
      <c r="L1055" s="5"/>
      <c r="M1055" s="8" t="str">
        <f>IF(AND(J1055&gt;0,L1055&gt;0),(L1055-J1055)/J1055,IF(AND(H1055&gt;0,L1055&gt;0),(L1055-H1055)/H1055,""))</f>
        <v/>
      </c>
      <c r="N1055" s="6">
        <v>45882</v>
      </c>
      <c r="O1055" s="5">
        <v>781.25</v>
      </c>
      <c r="P1055" s="8" t="str">
        <f>IF(AND(L1055&gt;0,O1055&gt;0),(O1055-L1055)/L1055,"")</f>
        <v/>
      </c>
      <c r="Q1055" s="9"/>
      <c r="R1055" s="9">
        <v>1</v>
      </c>
      <c r="S1055" s="10">
        <f>IF(N1055&gt;0,TODAY()-N1055,"")</f>
        <v>229</v>
      </c>
    </row>
    <row r="1056" ht="17" customHeight="1" spans="1:19" x14ac:dyDescent="0.25">
      <c r="A1056" s="11" t="s">
        <v>1934</v>
      </c>
      <c r="B1056" s="11" t="s">
        <v>1935</v>
      </c>
      <c r="C1056" s="11" t="s">
        <v>2134</v>
      </c>
      <c r="D1056" s="11" t="s">
        <v>2135</v>
      </c>
      <c r="E1056" s="12">
        <v>10</v>
      </c>
      <c r="F1056" s="13">
        <v>3503.845</v>
      </c>
      <c r="G1056" s="14">
        <v>45925</v>
      </c>
      <c r="H1056" s="13">
        <v>3503.84</v>
      </c>
      <c r="I1056" s="15" t="s">
        <v>24</v>
      </c>
      <c r="J1056" s="13"/>
      <c r="K1056" s="16" t="str">
        <f>IF(AND(H1056&gt;0,J1056&gt;0),(J1056-H1056)/H1056,"")</f>
        <v/>
      </c>
      <c r="L1056" s="13"/>
      <c r="M1056" s="16" t="str">
        <f>IF(AND(J1056&gt;0,L1056&gt;0),(L1056-J1056)/J1056,IF(AND(H1056&gt;0,L1056&gt;0),(L1056-H1056)/H1056,""))</f>
        <v/>
      </c>
      <c r="N1056" s="14">
        <v>45925</v>
      </c>
      <c r="O1056" s="13">
        <v>3503.84</v>
      </c>
      <c r="P1056" s="16" t="str">
        <f>IF(AND(L1056&gt;0,O1056&gt;0),(O1056-L1056)/L1056,"")</f>
        <v/>
      </c>
      <c r="Q1056" s="18"/>
      <c r="R1056" s="18">
        <v>1</v>
      </c>
      <c r="S1056" s="10">
        <f>IF(N1056&gt;0,TODAY()-N1056,"")</f>
        <v>186</v>
      </c>
    </row>
    <row r="1057" ht="17" customHeight="1" spans="1:19" x14ac:dyDescent="0.25">
      <c r="A1057" s="3" t="s">
        <v>1934</v>
      </c>
      <c r="B1057" s="3" t="s">
        <v>1935</v>
      </c>
      <c r="C1057" s="3" t="s">
        <v>2136</v>
      </c>
      <c r="D1057" s="3" t="s">
        <v>2137</v>
      </c>
      <c r="E1057" s="4">
        <v>2</v>
      </c>
      <c r="F1057" s="5">
        <v>1100</v>
      </c>
      <c r="G1057" s="6">
        <v>45848</v>
      </c>
      <c r="H1057" s="5">
        <v>595.83</v>
      </c>
      <c r="I1057" s="7" t="s">
        <v>24</v>
      </c>
      <c r="J1057" s="5"/>
      <c r="K1057" s="8" t="str">
        <f>IF(AND(H1057&gt;0,J1057&gt;0),(J1057-H1057)/H1057,"")</f>
        <v/>
      </c>
      <c r="L1057" s="5"/>
      <c r="M1057" s="8" t="str">
        <f>IF(AND(J1057&gt;0,L1057&gt;0),(L1057-J1057)/J1057,IF(AND(H1057&gt;0,L1057&gt;0),(L1057-H1057)/H1057,""))</f>
        <v/>
      </c>
      <c r="N1057" s="6">
        <v>45848</v>
      </c>
      <c r="O1057" s="5">
        <v>595.83</v>
      </c>
      <c r="P1057" s="8" t="str">
        <f>IF(AND(L1057&gt;0,O1057&gt;0),(O1057-L1057)/L1057,"")</f>
        <v/>
      </c>
      <c r="Q1057" s="9"/>
      <c r="R1057" s="9">
        <v>1</v>
      </c>
      <c r="S1057" s="10">
        <f>IF(N1057&gt;0,TODAY()-N1057,"")</f>
        <v>263</v>
      </c>
    </row>
    <row r="1058" ht="17" customHeight="1" spans="1:19" x14ac:dyDescent="0.25">
      <c r="A1058" s="11" t="s">
        <v>1934</v>
      </c>
      <c r="B1058" s="11" t="s">
        <v>1935</v>
      </c>
      <c r="C1058" s="11" t="s">
        <v>2138</v>
      </c>
      <c r="D1058" s="11" t="s">
        <v>2139</v>
      </c>
      <c r="E1058" s="12">
        <v>1</v>
      </c>
      <c r="F1058" s="13">
        <v>3628.3</v>
      </c>
      <c r="G1058" s="14">
        <v>45883</v>
      </c>
      <c r="H1058" s="13">
        <v>3628.3</v>
      </c>
      <c r="I1058" s="15" t="s">
        <v>24</v>
      </c>
      <c r="J1058" s="13"/>
      <c r="K1058" s="16" t="str">
        <f>IF(AND(H1058&gt;0,J1058&gt;0),(J1058-H1058)/H1058,"")</f>
        <v/>
      </c>
      <c r="L1058" s="13"/>
      <c r="M1058" s="16" t="str">
        <f>IF(AND(J1058&gt;0,L1058&gt;0),(L1058-J1058)/J1058,IF(AND(H1058&gt;0,L1058&gt;0),(L1058-H1058)/H1058,""))</f>
        <v/>
      </c>
      <c r="N1058" s="14">
        <v>45883</v>
      </c>
      <c r="O1058" s="13">
        <v>3628.3</v>
      </c>
      <c r="P1058" s="16" t="str">
        <f>IF(AND(L1058&gt;0,O1058&gt;0),(O1058-L1058)/L1058,"")</f>
        <v/>
      </c>
      <c r="Q1058" s="18"/>
      <c r="R1058" s="18">
        <v>1</v>
      </c>
      <c r="S1058" s="10">
        <f>IF(N1058&gt;0,TODAY()-N1058,"")</f>
        <v>228</v>
      </c>
    </row>
    <row r="1059" ht="17" customHeight="1" spans="1:19" x14ac:dyDescent="0.25">
      <c r="A1059" s="3" t="s">
        <v>1934</v>
      </c>
      <c r="B1059" s="3" t="s">
        <v>1935</v>
      </c>
      <c r="C1059" s="3" t="s">
        <v>2140</v>
      </c>
      <c r="D1059" s="3" t="s">
        <v>2141</v>
      </c>
      <c r="E1059" s="4">
        <v>15</v>
      </c>
      <c r="F1059" s="5">
        <v>1250</v>
      </c>
      <c r="G1059" s="6">
        <v>45671</v>
      </c>
      <c r="H1059" s="5">
        <v>677.08</v>
      </c>
      <c r="I1059" s="7" t="s">
        <v>24</v>
      </c>
      <c r="J1059" s="5"/>
      <c r="K1059" s="8" t="str">
        <f>IF(AND(H1059&gt;0,J1059&gt;0),(J1059-H1059)/H1059,"")</f>
        <v/>
      </c>
      <c r="L1059" s="5"/>
      <c r="M1059" s="8" t="str">
        <f>IF(AND(J1059&gt;0,L1059&gt;0),(L1059-J1059)/J1059,IF(AND(H1059&gt;0,L1059&gt;0),(L1059-H1059)/H1059,""))</f>
        <v/>
      </c>
      <c r="N1059" s="6">
        <v>45824</v>
      </c>
      <c r="O1059" s="5">
        <v>677.08</v>
      </c>
      <c r="P1059" s="8" t="str">
        <f>IF(AND(L1059&gt;0,O1059&gt;0),(O1059-L1059)/L1059,"")</f>
        <v/>
      </c>
      <c r="Q1059" s="9">
        <v>19</v>
      </c>
      <c r="R1059" s="9">
        <v>9</v>
      </c>
      <c r="S1059" s="10">
        <f>IF(N1059&gt;0,TODAY()-N1059,"")</f>
        <v>287</v>
      </c>
    </row>
    <row r="1060" ht="17" customHeight="1" spans="1:19" x14ac:dyDescent="0.25">
      <c r="A1060" s="11" t="s">
        <v>1934</v>
      </c>
      <c r="B1060" s="11" t="s">
        <v>1935</v>
      </c>
      <c r="C1060" s="11" t="s">
        <v>2142</v>
      </c>
      <c r="D1060" s="11" t="s">
        <v>2143</v>
      </c>
      <c r="E1060" s="12">
        <v>2</v>
      </c>
      <c r="F1060" s="13">
        <v>1300</v>
      </c>
      <c r="G1060" s="14">
        <v>45848</v>
      </c>
      <c r="H1060" s="13">
        <v>704.17</v>
      </c>
      <c r="I1060" s="15" t="s">
        <v>24</v>
      </c>
      <c r="J1060" s="13"/>
      <c r="K1060" s="16" t="str">
        <f>IF(AND(H1060&gt;0,J1060&gt;0),(J1060-H1060)/H1060,"")</f>
        <v/>
      </c>
      <c r="L1060" s="13"/>
      <c r="M1060" s="16" t="str">
        <f>IF(AND(J1060&gt;0,L1060&gt;0),(L1060-J1060)/J1060,IF(AND(H1060&gt;0,L1060&gt;0),(L1060-H1060)/H1060,""))</f>
        <v/>
      </c>
      <c r="N1060" s="14">
        <v>45848</v>
      </c>
      <c r="O1060" s="13">
        <v>704.17</v>
      </c>
      <c r="P1060" s="16" t="str">
        <f>IF(AND(L1060&gt;0,O1060&gt;0),(O1060-L1060)/L1060,"")</f>
        <v/>
      </c>
      <c r="Q1060" s="18"/>
      <c r="R1060" s="18">
        <v>1</v>
      </c>
      <c r="S1060" s="10">
        <f>IF(N1060&gt;0,TODAY()-N1060,"")</f>
        <v>263</v>
      </c>
    </row>
    <row r="1061" ht="17" customHeight="1" spans="1:19" x14ac:dyDescent="0.25">
      <c r="A1061" s="3" t="s">
        <v>1934</v>
      </c>
      <c r="B1061" s="3" t="s">
        <v>1935</v>
      </c>
      <c r="C1061" s="3" t="s">
        <v>2144</v>
      </c>
      <c r="D1061" s="3" t="s">
        <v>2145</v>
      </c>
      <c r="E1061" s="4">
        <v>10</v>
      </c>
      <c r="F1061" s="5">
        <v>218.18200000000002</v>
      </c>
      <c r="G1061" s="6">
        <v>45833</v>
      </c>
      <c r="H1061" s="5">
        <v>218.18</v>
      </c>
      <c r="I1061" s="7" t="s">
        <v>24</v>
      </c>
      <c r="J1061" s="5"/>
      <c r="K1061" s="8" t="str">
        <f>IF(AND(H1061&gt;0,J1061&gt;0),(J1061-H1061)/H1061,"")</f>
        <v/>
      </c>
      <c r="L1061" s="5"/>
      <c r="M1061" s="8" t="str">
        <f>IF(AND(J1061&gt;0,L1061&gt;0),(L1061-J1061)/J1061,IF(AND(H1061&gt;0,L1061&gt;0),(L1061-H1061)/H1061,""))</f>
        <v/>
      </c>
      <c r="N1061" s="6">
        <v>45833</v>
      </c>
      <c r="O1061" s="5">
        <v>218.18</v>
      </c>
      <c r="P1061" s="8" t="str">
        <f>IF(AND(L1061&gt;0,O1061&gt;0),(O1061-L1061)/L1061,"")</f>
        <v/>
      </c>
      <c r="Q1061" s="9"/>
      <c r="R1061" s="9">
        <v>1</v>
      </c>
      <c r="S1061" s="10">
        <f>IF(N1061&gt;0,TODAY()-N1061,"")</f>
        <v>278</v>
      </c>
    </row>
    <row r="1062" ht="17" customHeight="1" spans="1:19" x14ac:dyDescent="0.25">
      <c r="A1062" s="11" t="s">
        <v>1934</v>
      </c>
      <c r="B1062" s="11" t="s">
        <v>1935</v>
      </c>
      <c r="C1062" s="11" t="s">
        <v>2146</v>
      </c>
      <c r="D1062" s="11" t="s">
        <v>2147</v>
      </c>
      <c r="E1062" s="12">
        <v>10</v>
      </c>
      <c r="F1062" s="13">
        <v>218.18200000000002</v>
      </c>
      <c r="G1062" s="14">
        <v>45833</v>
      </c>
      <c r="H1062" s="13">
        <v>218.18</v>
      </c>
      <c r="I1062" s="15" t="s">
        <v>24</v>
      </c>
      <c r="J1062" s="13"/>
      <c r="K1062" s="16" t="str">
        <f>IF(AND(H1062&gt;0,J1062&gt;0),(J1062-H1062)/H1062,"")</f>
        <v/>
      </c>
      <c r="L1062" s="13"/>
      <c r="M1062" s="16" t="str">
        <f>IF(AND(J1062&gt;0,L1062&gt;0),(L1062-J1062)/J1062,IF(AND(H1062&gt;0,L1062&gt;0),(L1062-H1062)/H1062,""))</f>
        <v/>
      </c>
      <c r="N1062" s="14">
        <v>45833</v>
      </c>
      <c r="O1062" s="13">
        <v>218.18</v>
      </c>
      <c r="P1062" s="16" t="str">
        <f>IF(AND(L1062&gt;0,O1062&gt;0),(O1062-L1062)/L1062,"")</f>
        <v/>
      </c>
      <c r="Q1062" s="18"/>
      <c r="R1062" s="18">
        <v>1</v>
      </c>
      <c r="S1062" s="10">
        <f>IF(N1062&gt;0,TODAY()-N1062,"")</f>
        <v>278</v>
      </c>
    </row>
    <row r="1063" ht="17" customHeight="1" spans="1:19" x14ac:dyDescent="0.25">
      <c r="A1063" s="3" t="s">
        <v>1934</v>
      </c>
      <c r="B1063" s="3" t="s">
        <v>1935</v>
      </c>
      <c r="C1063" s="3" t="s">
        <v>2148</v>
      </c>
      <c r="D1063" s="3" t="s">
        <v>2149</v>
      </c>
      <c r="E1063" s="4">
        <v>77</v>
      </c>
      <c r="F1063" s="5">
        <v>403.24675324675326</v>
      </c>
      <c r="G1063" s="6">
        <v>45671</v>
      </c>
      <c r="H1063" s="5">
        <v>216.67</v>
      </c>
      <c r="I1063" s="7" t="s">
        <v>24</v>
      </c>
      <c r="J1063" s="5"/>
      <c r="K1063" s="8" t="str">
        <f>IF(AND(H1063&gt;0,J1063&gt;0),(J1063-H1063)/H1063,"")</f>
        <v/>
      </c>
      <c r="L1063" s="5"/>
      <c r="M1063" s="8" t="str">
        <f>IF(AND(J1063&gt;0,L1063&gt;0),(L1063-J1063)/J1063,IF(AND(H1063&gt;0,L1063&gt;0),(L1063-H1063)/H1063,""))</f>
        <v/>
      </c>
      <c r="N1063" s="6">
        <v>45863</v>
      </c>
      <c r="O1063" s="5">
        <v>243.75</v>
      </c>
      <c r="P1063" s="8" t="str">
        <f>IF(AND(L1063&gt;0,O1063&gt;0),(O1063-L1063)/L1063,"")</f>
        <v/>
      </c>
      <c r="Q1063" s="9">
        <v>13</v>
      </c>
      <c r="R1063" s="9">
        <v>16</v>
      </c>
      <c r="S1063" s="10">
        <f>IF(N1063&gt;0,TODAY()-N1063,"")</f>
        <v>248</v>
      </c>
    </row>
    <row r="1064" ht="17" customHeight="1" spans="1:19" x14ac:dyDescent="0.25">
      <c r="A1064" s="11" t="s">
        <v>1934</v>
      </c>
      <c r="B1064" s="11" t="s">
        <v>1935</v>
      </c>
      <c r="C1064" s="11" t="s">
        <v>2150</v>
      </c>
      <c r="D1064" s="11" t="s">
        <v>2151</v>
      </c>
      <c r="E1064" s="12">
        <v>8</v>
      </c>
      <c r="F1064" s="13">
        <v>3000.71125</v>
      </c>
      <c r="G1064" s="14">
        <v>45925</v>
      </c>
      <c r="H1064" s="13">
        <v>2995.79</v>
      </c>
      <c r="I1064" s="15" t="s">
        <v>60</v>
      </c>
      <c r="J1064" s="13">
        <v>3053.25</v>
      </c>
      <c r="K1064" s="17">
        <f>IF(AND(H1064&gt;0,J1064&gt;0),(J1064-H1064)/H1064,"")</f>
        <v>0.019180249616962484</v>
      </c>
      <c r="L1064" s="13">
        <v>2900.56</v>
      </c>
      <c r="M1064" s="25">
        <f>IF(AND(J1064&gt;0,L1064&gt;0),(L1064-J1064)/J1064,IF(AND(H1064&gt;0,L1064&gt;0),(L1064-H1064)/H1064,""))</f>
        <v>-0.05000900679603703</v>
      </c>
      <c r="N1064" s="14">
        <v>46037</v>
      </c>
      <c r="O1064" s="13">
        <v>2900.56</v>
      </c>
      <c r="P1064" s="16" t="str">
        <f>IF(AND(L1064&gt;0,O1064&gt;0),(O1064-L1064)/L1064,"")</f>
        <v/>
      </c>
      <c r="Q1064" s="18">
        <v>56</v>
      </c>
      <c r="R1064" s="18">
        <v>3</v>
      </c>
      <c r="S1064" s="19">
        <f>IF(N1064&gt;0,TODAY()-N1064,"")</f>
        <v>74</v>
      </c>
    </row>
    <row r="1065" ht="17" customHeight="1" spans="1:19" x14ac:dyDescent="0.25">
      <c r="A1065" s="3" t="s">
        <v>1934</v>
      </c>
      <c r="B1065" s="3" t="s">
        <v>1935</v>
      </c>
      <c r="C1065" s="3" t="s">
        <v>2152</v>
      </c>
      <c r="D1065" s="3" t="s">
        <v>2153</v>
      </c>
      <c r="E1065" s="4">
        <v>9</v>
      </c>
      <c r="F1065" s="5">
        <v>8090.627777777777</v>
      </c>
      <c r="G1065" s="6">
        <v>45925</v>
      </c>
      <c r="H1065" s="5">
        <v>8195.91</v>
      </c>
      <c r="I1065" s="7" t="s">
        <v>60</v>
      </c>
      <c r="J1065" s="5">
        <v>8353.1</v>
      </c>
      <c r="K1065" s="24">
        <f>IF(AND(H1065&gt;0,J1065&gt;0),(J1065-H1065)/H1065,"")</f>
        <v>0.01917907834517467</v>
      </c>
      <c r="L1065" s="5">
        <v>7670.47</v>
      </c>
      <c r="M1065" s="26">
        <f>IF(AND(J1065&gt;0,L1065&gt;0),(L1065-J1065)/J1065,IF(AND(H1065&gt;0,L1065&gt;0),(L1065-H1065)/H1065,""))</f>
        <v>-0.0817217559947804</v>
      </c>
      <c r="N1065" s="6">
        <v>46037</v>
      </c>
      <c r="O1065" s="5">
        <v>7670.47</v>
      </c>
      <c r="P1065" s="8" t="str">
        <f>IF(AND(L1065&gt;0,O1065&gt;0),(O1065-L1065)/L1065,"")</f>
        <v/>
      </c>
      <c r="Q1065" s="9">
        <v>56</v>
      </c>
      <c r="R1065" s="9">
        <v>3</v>
      </c>
      <c r="S1065" s="19">
        <f>IF(N1065&gt;0,TODAY()-N1065,"")</f>
        <v>74</v>
      </c>
    </row>
    <row r="1066" ht="17" customHeight="1" spans="1:19" x14ac:dyDescent="0.25">
      <c r="A1066" s="11" t="s">
        <v>1934</v>
      </c>
      <c r="B1066" s="11" t="s">
        <v>1935</v>
      </c>
      <c r="C1066" s="11" t="s">
        <v>2154</v>
      </c>
      <c r="D1066" s="11" t="s">
        <v>2155</v>
      </c>
      <c r="E1066" s="12">
        <v>3</v>
      </c>
      <c r="F1066" s="13">
        <v>1312.5</v>
      </c>
      <c r="G1066" s="14">
        <v>45868</v>
      </c>
      <c r="H1066" s="13">
        <v>1312.5</v>
      </c>
      <c r="I1066" s="15" t="s">
        <v>24</v>
      </c>
      <c r="J1066" s="13"/>
      <c r="K1066" s="16" t="str">
        <f>IF(AND(H1066&gt;0,J1066&gt;0),(J1066-H1066)/H1066,"")</f>
        <v/>
      </c>
      <c r="L1066" s="13"/>
      <c r="M1066" s="16" t="str">
        <f>IF(AND(J1066&gt;0,L1066&gt;0),(L1066-J1066)/J1066,IF(AND(H1066&gt;0,L1066&gt;0),(L1066-H1066)/H1066,""))</f>
        <v/>
      </c>
      <c r="N1066" s="14">
        <v>45868</v>
      </c>
      <c r="O1066" s="13">
        <v>1312.5</v>
      </c>
      <c r="P1066" s="16" t="str">
        <f>IF(AND(L1066&gt;0,O1066&gt;0),(O1066-L1066)/L1066,"")</f>
        <v/>
      </c>
      <c r="Q1066" s="18"/>
      <c r="R1066" s="18">
        <v>1</v>
      </c>
      <c r="S1066" s="10">
        <f>IF(N1066&gt;0,TODAY()-N1066,"")</f>
        <v>243</v>
      </c>
    </row>
    <row r="1067" ht="17" customHeight="1" spans="1:19" x14ac:dyDescent="0.25">
      <c r="A1067" s="3" t="s">
        <v>1934</v>
      </c>
      <c r="B1067" s="3" t="s">
        <v>1935</v>
      </c>
      <c r="C1067" s="3" t="s">
        <v>2156</v>
      </c>
      <c r="D1067" s="3" t="s">
        <v>2157</v>
      </c>
      <c r="E1067" s="4">
        <v>3</v>
      </c>
      <c r="F1067" s="5">
        <v>1500</v>
      </c>
      <c r="G1067" s="6">
        <v>45868</v>
      </c>
      <c r="H1067" s="5">
        <v>1500</v>
      </c>
      <c r="I1067" s="7" t="s">
        <v>24</v>
      </c>
      <c r="J1067" s="5"/>
      <c r="K1067" s="8" t="str">
        <f>IF(AND(H1067&gt;0,J1067&gt;0),(J1067-H1067)/H1067,"")</f>
        <v/>
      </c>
      <c r="L1067" s="5"/>
      <c r="M1067" s="8" t="str">
        <f>IF(AND(J1067&gt;0,L1067&gt;0),(L1067-J1067)/J1067,IF(AND(H1067&gt;0,L1067&gt;0),(L1067-H1067)/H1067,""))</f>
        <v/>
      </c>
      <c r="N1067" s="6">
        <v>45868</v>
      </c>
      <c r="O1067" s="5">
        <v>1500</v>
      </c>
      <c r="P1067" s="8" t="str">
        <f>IF(AND(L1067&gt;0,O1067&gt;0),(O1067-L1067)/L1067,"")</f>
        <v/>
      </c>
      <c r="Q1067" s="9"/>
      <c r="R1067" s="9">
        <v>1</v>
      </c>
      <c r="S1067" s="10">
        <f>IF(N1067&gt;0,TODAY()-N1067,"")</f>
        <v>243</v>
      </c>
    </row>
    <row r="1068" ht="17" customHeight="1" spans="1:19" x14ac:dyDescent="0.25">
      <c r="A1068" s="11" t="s">
        <v>1934</v>
      </c>
      <c r="B1068" s="11" t="s">
        <v>1935</v>
      </c>
      <c r="C1068" s="11" t="s">
        <v>2158</v>
      </c>
      <c r="D1068" s="11" t="s">
        <v>2159</v>
      </c>
      <c r="E1068" s="12">
        <v>3</v>
      </c>
      <c r="F1068" s="13">
        <v>1125</v>
      </c>
      <c r="G1068" s="14">
        <v>45868</v>
      </c>
      <c r="H1068" s="13">
        <v>1125</v>
      </c>
      <c r="I1068" s="15" t="s">
        <v>24</v>
      </c>
      <c r="J1068" s="13"/>
      <c r="K1068" s="16" t="str">
        <f>IF(AND(H1068&gt;0,J1068&gt;0),(J1068-H1068)/H1068,"")</f>
        <v/>
      </c>
      <c r="L1068" s="13"/>
      <c r="M1068" s="16" t="str">
        <f>IF(AND(J1068&gt;0,L1068&gt;0),(L1068-J1068)/J1068,IF(AND(H1068&gt;0,L1068&gt;0),(L1068-H1068)/H1068,""))</f>
        <v/>
      </c>
      <c r="N1068" s="14">
        <v>45868</v>
      </c>
      <c r="O1068" s="13">
        <v>1125</v>
      </c>
      <c r="P1068" s="16" t="str">
        <f>IF(AND(L1068&gt;0,O1068&gt;0),(O1068-L1068)/L1068,"")</f>
        <v/>
      </c>
      <c r="Q1068" s="18"/>
      <c r="R1068" s="18">
        <v>1</v>
      </c>
      <c r="S1068" s="10">
        <f>IF(N1068&gt;0,TODAY()-N1068,"")</f>
        <v>243</v>
      </c>
    </row>
    <row r="1069" ht="17" customHeight="1" spans="1:19" x14ac:dyDescent="0.25">
      <c r="A1069" s="3" t="s">
        <v>1934</v>
      </c>
      <c r="B1069" s="3" t="s">
        <v>1935</v>
      </c>
      <c r="C1069" s="3" t="s">
        <v>2160</v>
      </c>
      <c r="D1069" s="3" t="s">
        <v>2161</v>
      </c>
      <c r="E1069" s="4">
        <v>12</v>
      </c>
      <c r="F1069" s="5">
        <v>341.25</v>
      </c>
      <c r="G1069" s="6">
        <v>45868</v>
      </c>
      <c r="H1069" s="5">
        <v>341.25</v>
      </c>
      <c r="I1069" s="7" t="s">
        <v>24</v>
      </c>
      <c r="J1069" s="5"/>
      <c r="K1069" s="8" t="str">
        <f>IF(AND(H1069&gt;0,J1069&gt;0),(J1069-H1069)/H1069,"")</f>
        <v/>
      </c>
      <c r="L1069" s="5"/>
      <c r="M1069" s="8" t="str">
        <f>IF(AND(J1069&gt;0,L1069&gt;0),(L1069-J1069)/J1069,IF(AND(H1069&gt;0,L1069&gt;0),(L1069-H1069)/H1069,""))</f>
        <v/>
      </c>
      <c r="N1069" s="6">
        <v>45868</v>
      </c>
      <c r="O1069" s="5">
        <v>341.25</v>
      </c>
      <c r="P1069" s="8" t="str">
        <f>IF(AND(L1069&gt;0,O1069&gt;0),(O1069-L1069)/L1069,"")</f>
        <v/>
      </c>
      <c r="Q1069" s="9"/>
      <c r="R1069" s="9">
        <v>1</v>
      </c>
      <c r="S1069" s="10">
        <f>IF(N1069&gt;0,TODAY()-N1069,"")</f>
        <v>243</v>
      </c>
    </row>
    <row r="1070" ht="17" customHeight="1" spans="1:19" x14ac:dyDescent="0.25">
      <c r="A1070" s="11" t="s">
        <v>1934</v>
      </c>
      <c r="B1070" s="11" t="s">
        <v>1935</v>
      </c>
      <c r="C1070" s="11" t="s">
        <v>2162</v>
      </c>
      <c r="D1070" s="11" t="s">
        <v>2163</v>
      </c>
      <c r="E1070" s="12">
        <v>6</v>
      </c>
      <c r="F1070" s="13">
        <v>562.5</v>
      </c>
      <c r="G1070" s="14">
        <v>45868</v>
      </c>
      <c r="H1070" s="13">
        <v>562.5</v>
      </c>
      <c r="I1070" s="15" t="s">
        <v>24</v>
      </c>
      <c r="J1070" s="13"/>
      <c r="K1070" s="16" t="str">
        <f>IF(AND(H1070&gt;0,J1070&gt;0),(J1070-H1070)/H1070,"")</f>
        <v/>
      </c>
      <c r="L1070" s="13"/>
      <c r="M1070" s="16" t="str">
        <f>IF(AND(J1070&gt;0,L1070&gt;0),(L1070-J1070)/J1070,IF(AND(H1070&gt;0,L1070&gt;0),(L1070-H1070)/H1070,""))</f>
        <v/>
      </c>
      <c r="N1070" s="14">
        <v>45868</v>
      </c>
      <c r="O1070" s="13">
        <v>562.5</v>
      </c>
      <c r="P1070" s="16" t="str">
        <f>IF(AND(L1070&gt;0,O1070&gt;0),(O1070-L1070)/L1070,"")</f>
        <v/>
      </c>
      <c r="Q1070" s="18"/>
      <c r="R1070" s="18">
        <v>1</v>
      </c>
      <c r="S1070" s="10">
        <f>IF(N1070&gt;0,TODAY()-N1070,"")</f>
        <v>243</v>
      </c>
    </row>
    <row r="1071" ht="17" customHeight="1" spans="1:19" x14ac:dyDescent="0.25">
      <c r="A1071" s="3" t="s">
        <v>1934</v>
      </c>
      <c r="B1071" s="3" t="s">
        <v>1935</v>
      </c>
      <c r="C1071" s="3" t="s">
        <v>2164</v>
      </c>
      <c r="D1071" s="3" t="s">
        <v>2165</v>
      </c>
      <c r="E1071" s="4">
        <v>6</v>
      </c>
      <c r="F1071" s="5">
        <v>731.25</v>
      </c>
      <c r="G1071" s="6">
        <v>45868</v>
      </c>
      <c r="H1071" s="5">
        <v>731.25</v>
      </c>
      <c r="I1071" s="7" t="s">
        <v>24</v>
      </c>
      <c r="J1071" s="5"/>
      <c r="K1071" s="8" t="str">
        <f>IF(AND(H1071&gt;0,J1071&gt;0),(J1071-H1071)/H1071,"")</f>
        <v/>
      </c>
      <c r="L1071" s="5"/>
      <c r="M1071" s="8" t="str">
        <f>IF(AND(J1071&gt;0,L1071&gt;0),(L1071-J1071)/J1071,IF(AND(H1071&gt;0,L1071&gt;0),(L1071-H1071)/H1071,""))</f>
        <v/>
      </c>
      <c r="N1071" s="6">
        <v>45868</v>
      </c>
      <c r="O1071" s="5">
        <v>731.25</v>
      </c>
      <c r="P1071" s="8" t="str">
        <f>IF(AND(L1071&gt;0,O1071&gt;0),(O1071-L1071)/L1071,"")</f>
        <v/>
      </c>
      <c r="Q1071" s="9"/>
      <c r="R1071" s="9">
        <v>1</v>
      </c>
      <c r="S1071" s="10">
        <f>IF(N1071&gt;0,TODAY()-N1071,"")</f>
        <v>243</v>
      </c>
    </row>
    <row r="1072" ht="17" customHeight="1" spans="1:19" x14ac:dyDescent="0.25">
      <c r="A1072" s="11" t="s">
        <v>1934</v>
      </c>
      <c r="B1072" s="11" t="s">
        <v>1935</v>
      </c>
      <c r="C1072" s="11" t="s">
        <v>2166</v>
      </c>
      <c r="D1072" s="11" t="s">
        <v>2167</v>
      </c>
      <c r="E1072" s="12">
        <v>6</v>
      </c>
      <c r="F1072" s="13">
        <v>693.75</v>
      </c>
      <c r="G1072" s="14">
        <v>45868</v>
      </c>
      <c r="H1072" s="13">
        <v>693.75</v>
      </c>
      <c r="I1072" s="15" t="s">
        <v>24</v>
      </c>
      <c r="J1072" s="13"/>
      <c r="K1072" s="16" t="str">
        <f>IF(AND(H1072&gt;0,J1072&gt;0),(J1072-H1072)/H1072,"")</f>
        <v/>
      </c>
      <c r="L1072" s="13"/>
      <c r="M1072" s="16" t="str">
        <f>IF(AND(J1072&gt;0,L1072&gt;0),(L1072-J1072)/J1072,IF(AND(H1072&gt;0,L1072&gt;0),(L1072-H1072)/H1072,""))</f>
        <v/>
      </c>
      <c r="N1072" s="14">
        <v>45868</v>
      </c>
      <c r="O1072" s="13">
        <v>693.75</v>
      </c>
      <c r="P1072" s="16" t="str">
        <f>IF(AND(L1072&gt;0,O1072&gt;0),(O1072-L1072)/L1072,"")</f>
        <v/>
      </c>
      <c r="Q1072" s="18"/>
      <c r="R1072" s="18">
        <v>1</v>
      </c>
      <c r="S1072" s="10">
        <f>IF(N1072&gt;0,TODAY()-N1072,"")</f>
        <v>243</v>
      </c>
    </row>
    <row r="1073" ht="17" customHeight="1" spans="1:19" x14ac:dyDescent="0.25">
      <c r="A1073" s="3" t="s">
        <v>1934</v>
      </c>
      <c r="B1073" s="3" t="s">
        <v>1935</v>
      </c>
      <c r="C1073" s="3" t="s">
        <v>2168</v>
      </c>
      <c r="D1073" s="3" t="s">
        <v>2169</v>
      </c>
      <c r="E1073" s="4">
        <v>24</v>
      </c>
      <c r="F1073" s="5">
        <v>656.25</v>
      </c>
      <c r="G1073" s="6">
        <v>45868</v>
      </c>
      <c r="H1073" s="5">
        <v>656.25</v>
      </c>
      <c r="I1073" s="7" t="s">
        <v>24</v>
      </c>
      <c r="J1073" s="5"/>
      <c r="K1073" s="8" t="str">
        <f>IF(AND(H1073&gt;0,J1073&gt;0),(J1073-H1073)/H1073,"")</f>
        <v/>
      </c>
      <c r="L1073" s="5"/>
      <c r="M1073" s="8" t="str">
        <f>IF(AND(J1073&gt;0,L1073&gt;0),(L1073-J1073)/J1073,IF(AND(H1073&gt;0,L1073&gt;0),(L1073-H1073)/H1073,""))</f>
        <v/>
      </c>
      <c r="N1073" s="6">
        <v>45908</v>
      </c>
      <c r="O1073" s="5">
        <v>656.25</v>
      </c>
      <c r="P1073" s="8" t="str">
        <f>IF(AND(L1073&gt;0,O1073&gt;0),(O1073-L1073)/L1073,"")</f>
        <v/>
      </c>
      <c r="Q1073" s="9">
        <v>20</v>
      </c>
      <c r="R1073" s="9">
        <v>3</v>
      </c>
      <c r="S1073" s="10">
        <f>IF(N1073&gt;0,TODAY()-N1073,"")</f>
        <v>203</v>
      </c>
    </row>
    <row r="1074" ht="17" customHeight="1" spans="1:19" x14ac:dyDescent="0.25">
      <c r="A1074" s="11" t="s">
        <v>1934</v>
      </c>
      <c r="B1074" s="11" t="s">
        <v>1935</v>
      </c>
      <c r="C1074" s="11" t="s">
        <v>2170</v>
      </c>
      <c r="D1074" s="11" t="s">
        <v>2171</v>
      </c>
      <c r="E1074" s="12">
        <v>12</v>
      </c>
      <c r="F1074" s="13">
        <v>300</v>
      </c>
      <c r="G1074" s="14">
        <v>45868</v>
      </c>
      <c r="H1074" s="13">
        <v>300</v>
      </c>
      <c r="I1074" s="15" t="s">
        <v>24</v>
      </c>
      <c r="J1074" s="13"/>
      <c r="K1074" s="16" t="str">
        <f>IF(AND(H1074&gt;0,J1074&gt;0),(J1074-H1074)/H1074,"")</f>
        <v/>
      </c>
      <c r="L1074" s="13"/>
      <c r="M1074" s="16" t="str">
        <f>IF(AND(J1074&gt;0,L1074&gt;0),(L1074-J1074)/J1074,IF(AND(H1074&gt;0,L1074&gt;0),(L1074-H1074)/H1074,""))</f>
        <v/>
      </c>
      <c r="N1074" s="14">
        <v>45868</v>
      </c>
      <c r="O1074" s="13">
        <v>300</v>
      </c>
      <c r="P1074" s="16" t="str">
        <f>IF(AND(L1074&gt;0,O1074&gt;0),(O1074-L1074)/L1074,"")</f>
        <v/>
      </c>
      <c r="Q1074" s="18"/>
      <c r="R1074" s="18">
        <v>1</v>
      </c>
      <c r="S1074" s="10">
        <f>IF(N1074&gt;0,TODAY()-N1074,"")</f>
        <v>243</v>
      </c>
    </row>
    <row r="1075" ht="17" customHeight="1" spans="1:19" x14ac:dyDescent="0.25">
      <c r="A1075" s="3" t="s">
        <v>1934</v>
      </c>
      <c r="B1075" s="3" t="s">
        <v>1935</v>
      </c>
      <c r="C1075" s="3" t="s">
        <v>2172</v>
      </c>
      <c r="D1075" s="3" t="s">
        <v>2173</v>
      </c>
      <c r="E1075" s="4">
        <v>3</v>
      </c>
      <c r="F1075" s="5">
        <v>843.75</v>
      </c>
      <c r="G1075" s="6">
        <v>45868</v>
      </c>
      <c r="H1075" s="5">
        <v>843.75</v>
      </c>
      <c r="I1075" s="7" t="s">
        <v>24</v>
      </c>
      <c r="J1075" s="5"/>
      <c r="K1075" s="8" t="str">
        <f>IF(AND(H1075&gt;0,J1075&gt;0),(J1075-H1075)/H1075,"")</f>
        <v/>
      </c>
      <c r="L1075" s="5"/>
      <c r="M1075" s="8" t="str">
        <f>IF(AND(J1075&gt;0,L1075&gt;0),(L1075-J1075)/J1075,IF(AND(H1075&gt;0,L1075&gt;0),(L1075-H1075)/H1075,""))</f>
        <v/>
      </c>
      <c r="N1075" s="6">
        <v>45868</v>
      </c>
      <c r="O1075" s="5">
        <v>843.75</v>
      </c>
      <c r="P1075" s="8" t="str">
        <f>IF(AND(L1075&gt;0,O1075&gt;0),(O1075-L1075)/L1075,"")</f>
        <v/>
      </c>
      <c r="Q1075" s="9"/>
      <c r="R1075" s="9">
        <v>1</v>
      </c>
      <c r="S1075" s="10">
        <f>IF(N1075&gt;0,TODAY()-N1075,"")</f>
        <v>243</v>
      </c>
    </row>
    <row r="1076" ht="17" customHeight="1" spans="1:19" x14ac:dyDescent="0.25">
      <c r="A1076" s="11" t="s">
        <v>1934</v>
      </c>
      <c r="B1076" s="11" t="s">
        <v>1935</v>
      </c>
      <c r="C1076" s="11" t="s">
        <v>2174</v>
      </c>
      <c r="D1076" s="11" t="s">
        <v>2175</v>
      </c>
      <c r="E1076" s="12">
        <v>36</v>
      </c>
      <c r="F1076" s="13">
        <v>65.625</v>
      </c>
      <c r="G1076" s="14">
        <v>45868</v>
      </c>
      <c r="H1076" s="13">
        <v>65.63</v>
      </c>
      <c r="I1076" s="15" t="s">
        <v>24</v>
      </c>
      <c r="J1076" s="13"/>
      <c r="K1076" s="16" t="str">
        <f>IF(AND(H1076&gt;0,J1076&gt;0),(J1076-H1076)/H1076,"")</f>
        <v/>
      </c>
      <c r="L1076" s="13"/>
      <c r="M1076" s="16" t="str">
        <f>IF(AND(J1076&gt;0,L1076&gt;0),(L1076-J1076)/J1076,IF(AND(H1076&gt;0,L1076&gt;0),(L1076-H1076)/H1076,""))</f>
        <v/>
      </c>
      <c r="N1076" s="14">
        <v>45868</v>
      </c>
      <c r="O1076" s="13">
        <v>65.63</v>
      </c>
      <c r="P1076" s="16" t="str">
        <f>IF(AND(L1076&gt;0,O1076&gt;0),(O1076-L1076)/L1076,"")</f>
        <v/>
      </c>
      <c r="Q1076" s="18"/>
      <c r="R1076" s="18">
        <v>1</v>
      </c>
      <c r="S1076" s="10">
        <f>IF(N1076&gt;0,TODAY()-N1076,"")</f>
        <v>243</v>
      </c>
    </row>
    <row r="1077" ht="17" customHeight="1" spans="1:19" x14ac:dyDescent="0.25">
      <c r="A1077" s="3" t="s">
        <v>1934</v>
      </c>
      <c r="B1077" s="3" t="s">
        <v>1935</v>
      </c>
      <c r="C1077" s="3" t="s">
        <v>2176</v>
      </c>
      <c r="D1077" s="3" t="s">
        <v>2177</v>
      </c>
      <c r="E1077" s="4">
        <v>12</v>
      </c>
      <c r="F1077" s="5">
        <v>333.75</v>
      </c>
      <c r="G1077" s="6">
        <v>45868</v>
      </c>
      <c r="H1077" s="5">
        <v>333.75</v>
      </c>
      <c r="I1077" s="7" t="s">
        <v>24</v>
      </c>
      <c r="J1077" s="5"/>
      <c r="K1077" s="8" t="str">
        <f>IF(AND(H1077&gt;0,J1077&gt;0),(J1077-H1077)/H1077,"")</f>
        <v/>
      </c>
      <c r="L1077" s="5"/>
      <c r="M1077" s="8" t="str">
        <f>IF(AND(J1077&gt;0,L1077&gt;0),(L1077-J1077)/J1077,IF(AND(H1077&gt;0,L1077&gt;0),(L1077-H1077)/H1077,""))</f>
        <v/>
      </c>
      <c r="N1077" s="6">
        <v>45868</v>
      </c>
      <c r="O1077" s="5">
        <v>333.75</v>
      </c>
      <c r="P1077" s="8" t="str">
        <f>IF(AND(L1077&gt;0,O1077&gt;0),(O1077-L1077)/L1077,"")</f>
        <v/>
      </c>
      <c r="Q1077" s="9"/>
      <c r="R1077" s="9">
        <v>1</v>
      </c>
      <c r="S1077" s="10">
        <f>IF(N1077&gt;0,TODAY()-N1077,"")</f>
        <v>243</v>
      </c>
    </row>
    <row r="1078" ht="17" customHeight="1" spans="1:19" x14ac:dyDescent="0.25">
      <c r="A1078" s="11" t="s">
        <v>1934</v>
      </c>
      <c r="B1078" s="11" t="s">
        <v>1935</v>
      </c>
      <c r="C1078" s="11" t="s">
        <v>2178</v>
      </c>
      <c r="D1078" s="11" t="s">
        <v>2179</v>
      </c>
      <c r="E1078" s="12">
        <v>12</v>
      </c>
      <c r="F1078" s="13">
        <v>412.5</v>
      </c>
      <c r="G1078" s="14">
        <v>45868</v>
      </c>
      <c r="H1078" s="13">
        <v>412.5</v>
      </c>
      <c r="I1078" s="15" t="s">
        <v>24</v>
      </c>
      <c r="J1078" s="13"/>
      <c r="K1078" s="16" t="str">
        <f>IF(AND(H1078&gt;0,J1078&gt;0),(J1078-H1078)/H1078,"")</f>
        <v/>
      </c>
      <c r="L1078" s="13"/>
      <c r="M1078" s="16" t="str">
        <f>IF(AND(J1078&gt;0,L1078&gt;0),(L1078-J1078)/J1078,IF(AND(H1078&gt;0,L1078&gt;0),(L1078-H1078)/H1078,""))</f>
        <v/>
      </c>
      <c r="N1078" s="14">
        <v>45868</v>
      </c>
      <c r="O1078" s="13">
        <v>412.5</v>
      </c>
      <c r="P1078" s="16" t="str">
        <f>IF(AND(L1078&gt;0,O1078&gt;0),(O1078-L1078)/L1078,"")</f>
        <v/>
      </c>
      <c r="Q1078" s="18"/>
      <c r="R1078" s="18">
        <v>1</v>
      </c>
      <c r="S1078" s="10">
        <f>IF(N1078&gt;0,TODAY()-N1078,"")</f>
        <v>243</v>
      </c>
    </row>
    <row r="1079" ht="17" customHeight="1" spans="1:19" x14ac:dyDescent="0.25">
      <c r="A1079" s="3" t="s">
        <v>1934</v>
      </c>
      <c r="B1079" s="3" t="s">
        <v>1935</v>
      </c>
      <c r="C1079" s="3" t="s">
        <v>2180</v>
      </c>
      <c r="D1079" s="3" t="s">
        <v>2181</v>
      </c>
      <c r="E1079" s="4">
        <v>12</v>
      </c>
      <c r="F1079" s="5">
        <v>300</v>
      </c>
      <c r="G1079" s="6">
        <v>45868</v>
      </c>
      <c r="H1079" s="5">
        <v>300</v>
      </c>
      <c r="I1079" s="7" t="s">
        <v>24</v>
      </c>
      <c r="J1079" s="5"/>
      <c r="K1079" s="8" t="str">
        <f>IF(AND(H1079&gt;0,J1079&gt;0),(J1079-H1079)/H1079,"")</f>
        <v/>
      </c>
      <c r="L1079" s="5"/>
      <c r="M1079" s="8" t="str">
        <f>IF(AND(J1079&gt;0,L1079&gt;0),(L1079-J1079)/J1079,IF(AND(H1079&gt;0,L1079&gt;0),(L1079-H1079)/H1079,""))</f>
        <v/>
      </c>
      <c r="N1079" s="6">
        <v>45868</v>
      </c>
      <c r="O1079" s="5">
        <v>300</v>
      </c>
      <c r="P1079" s="8" t="str">
        <f>IF(AND(L1079&gt;0,O1079&gt;0),(O1079-L1079)/L1079,"")</f>
        <v/>
      </c>
      <c r="Q1079" s="9"/>
      <c r="R1079" s="9">
        <v>1</v>
      </c>
      <c r="S1079" s="10">
        <f>IF(N1079&gt;0,TODAY()-N1079,"")</f>
        <v>243</v>
      </c>
    </row>
    <row r="1080" ht="17" customHeight="1" spans="1:19" x14ac:dyDescent="0.25">
      <c r="A1080" s="11" t="s">
        <v>1934</v>
      </c>
      <c r="B1080" s="11" t="s">
        <v>1935</v>
      </c>
      <c r="C1080" s="11" t="s">
        <v>2182</v>
      </c>
      <c r="D1080" s="11" t="s">
        <v>2183</v>
      </c>
      <c r="E1080" s="12">
        <v>3</v>
      </c>
      <c r="F1080" s="13">
        <v>1218.75</v>
      </c>
      <c r="G1080" s="14">
        <v>45868</v>
      </c>
      <c r="H1080" s="13">
        <v>1218.75</v>
      </c>
      <c r="I1080" s="15" t="s">
        <v>24</v>
      </c>
      <c r="J1080" s="13"/>
      <c r="K1080" s="16" t="str">
        <f>IF(AND(H1080&gt;0,J1080&gt;0),(J1080-H1080)/H1080,"")</f>
        <v/>
      </c>
      <c r="L1080" s="13"/>
      <c r="M1080" s="16" t="str">
        <f>IF(AND(J1080&gt;0,L1080&gt;0),(L1080-J1080)/J1080,IF(AND(H1080&gt;0,L1080&gt;0),(L1080-H1080)/H1080,""))</f>
        <v/>
      </c>
      <c r="N1080" s="14">
        <v>45868</v>
      </c>
      <c r="O1080" s="13">
        <v>1218.75</v>
      </c>
      <c r="P1080" s="16" t="str">
        <f>IF(AND(L1080&gt;0,O1080&gt;0),(O1080-L1080)/L1080,"")</f>
        <v/>
      </c>
      <c r="Q1080" s="18"/>
      <c r="R1080" s="18">
        <v>1</v>
      </c>
      <c r="S1080" s="10">
        <f>IF(N1080&gt;0,TODAY()-N1080,"")</f>
        <v>243</v>
      </c>
    </row>
    <row r="1081" ht="17" customHeight="1" spans="1:19" x14ac:dyDescent="0.25">
      <c r="A1081" s="3" t="s">
        <v>1934</v>
      </c>
      <c r="B1081" s="3" t="s">
        <v>1935</v>
      </c>
      <c r="C1081" s="3" t="s">
        <v>2184</v>
      </c>
      <c r="D1081" s="3" t="s">
        <v>2185</v>
      </c>
      <c r="E1081" s="4">
        <v>1</v>
      </c>
      <c r="F1081" s="5">
        <v>6937.5</v>
      </c>
      <c r="G1081" s="6">
        <v>45868</v>
      </c>
      <c r="H1081" s="5">
        <v>6937.5</v>
      </c>
      <c r="I1081" s="7" t="s">
        <v>24</v>
      </c>
      <c r="J1081" s="5"/>
      <c r="K1081" s="8" t="str">
        <f>IF(AND(H1081&gt;0,J1081&gt;0),(J1081-H1081)/H1081,"")</f>
        <v/>
      </c>
      <c r="L1081" s="5"/>
      <c r="M1081" s="8" t="str">
        <f>IF(AND(J1081&gt;0,L1081&gt;0),(L1081-J1081)/J1081,IF(AND(H1081&gt;0,L1081&gt;0),(L1081-H1081)/H1081,""))</f>
        <v/>
      </c>
      <c r="N1081" s="6">
        <v>45868</v>
      </c>
      <c r="O1081" s="5">
        <v>6937.5</v>
      </c>
      <c r="P1081" s="8" t="str">
        <f>IF(AND(L1081&gt;0,O1081&gt;0),(O1081-L1081)/L1081,"")</f>
        <v/>
      </c>
      <c r="Q1081" s="9"/>
      <c r="R1081" s="9">
        <v>1</v>
      </c>
      <c r="S1081" s="10">
        <f>IF(N1081&gt;0,TODAY()-N1081,"")</f>
        <v>243</v>
      </c>
    </row>
    <row r="1082" ht="17" customHeight="1" spans="1:19" x14ac:dyDescent="0.25">
      <c r="A1082" s="11" t="s">
        <v>1934</v>
      </c>
      <c r="B1082" s="11" t="s">
        <v>1935</v>
      </c>
      <c r="C1082" s="11" t="s">
        <v>2186</v>
      </c>
      <c r="D1082" s="11" t="s">
        <v>2187</v>
      </c>
      <c r="E1082" s="12">
        <v>30</v>
      </c>
      <c r="F1082" s="13">
        <v>7312.5</v>
      </c>
      <c r="G1082" s="14">
        <v>45868</v>
      </c>
      <c r="H1082" s="13">
        <v>7312.5</v>
      </c>
      <c r="I1082" s="15" t="s">
        <v>57</v>
      </c>
      <c r="J1082" s="13">
        <v>7312.5</v>
      </c>
      <c r="K1082" s="17">
        <f>IF(AND(H1082&gt;0,J1082&gt;0),(J1082-H1082)/H1082,"")</f>
        <v>0</v>
      </c>
      <c r="L1082" s="13"/>
      <c r="M1082" s="16" t="str">
        <f>IF(AND(J1082&gt;0,L1082&gt;0),(L1082-J1082)/J1082,IF(AND(H1082&gt;0,L1082&gt;0),(L1082-H1082)/H1082,""))</f>
        <v/>
      </c>
      <c r="N1082" s="14">
        <v>45961</v>
      </c>
      <c r="O1082" s="13">
        <v>7312.5</v>
      </c>
      <c r="P1082" s="16" t="str">
        <f>IF(AND(L1082&gt;0,O1082&gt;0),(O1082-L1082)/L1082,"")</f>
        <v/>
      </c>
      <c r="Q1082" s="18">
        <v>23</v>
      </c>
      <c r="R1082" s="18">
        <v>5</v>
      </c>
      <c r="S1082" s="21">
        <f>IF(N1082&gt;0,TODAY()-N1082,"")</f>
        <v>150</v>
      </c>
    </row>
    <row r="1083" ht="17" customHeight="1" spans="1:19" x14ac:dyDescent="0.25">
      <c r="A1083" s="3" t="s">
        <v>1934</v>
      </c>
      <c r="B1083" s="3" t="s">
        <v>1935</v>
      </c>
      <c r="C1083" s="3" t="s">
        <v>2188</v>
      </c>
      <c r="D1083" s="3" t="s">
        <v>2189</v>
      </c>
      <c r="E1083" s="4">
        <v>4</v>
      </c>
      <c r="F1083" s="5">
        <v>281.25</v>
      </c>
      <c r="G1083" s="6">
        <v>45868</v>
      </c>
      <c r="H1083" s="5">
        <v>281.25</v>
      </c>
      <c r="I1083" s="7" t="s">
        <v>24</v>
      </c>
      <c r="J1083" s="5"/>
      <c r="K1083" s="8" t="str">
        <f>IF(AND(H1083&gt;0,J1083&gt;0),(J1083-H1083)/H1083,"")</f>
        <v/>
      </c>
      <c r="L1083" s="5"/>
      <c r="M1083" s="8" t="str">
        <f>IF(AND(J1083&gt;0,L1083&gt;0),(L1083-J1083)/J1083,IF(AND(H1083&gt;0,L1083&gt;0),(L1083-H1083)/H1083,""))</f>
        <v/>
      </c>
      <c r="N1083" s="6">
        <v>45868</v>
      </c>
      <c r="O1083" s="5">
        <v>281.25</v>
      </c>
      <c r="P1083" s="8" t="str">
        <f>IF(AND(L1083&gt;0,O1083&gt;0),(O1083-L1083)/L1083,"")</f>
        <v/>
      </c>
      <c r="Q1083" s="9"/>
      <c r="R1083" s="9">
        <v>1</v>
      </c>
      <c r="S1083" s="10">
        <f>IF(N1083&gt;0,TODAY()-N1083,"")</f>
        <v>243</v>
      </c>
    </row>
    <row r="1084" ht="17" customHeight="1" spans="1:19" x14ac:dyDescent="0.25">
      <c r="A1084" s="11" t="s">
        <v>1934</v>
      </c>
      <c r="B1084" s="11" t="s">
        <v>1935</v>
      </c>
      <c r="C1084" s="11" t="s">
        <v>2190</v>
      </c>
      <c r="D1084" s="11" t="s">
        <v>2191</v>
      </c>
      <c r="E1084" s="12">
        <v>84</v>
      </c>
      <c r="F1084" s="13">
        <v>112.5</v>
      </c>
      <c r="G1084" s="14">
        <v>45868</v>
      </c>
      <c r="H1084" s="13">
        <v>112.5</v>
      </c>
      <c r="I1084" s="15" t="s">
        <v>57</v>
      </c>
      <c r="J1084" s="13">
        <v>112.5</v>
      </c>
      <c r="K1084" s="17">
        <f>IF(AND(H1084&gt;0,J1084&gt;0),(J1084-H1084)/H1084,"")</f>
        <v>0</v>
      </c>
      <c r="L1084" s="13"/>
      <c r="M1084" s="16" t="str">
        <f>IF(AND(J1084&gt;0,L1084&gt;0),(L1084-J1084)/J1084,IF(AND(H1084&gt;0,L1084&gt;0),(L1084-H1084)/H1084,""))</f>
        <v/>
      </c>
      <c r="N1084" s="14">
        <v>45939</v>
      </c>
      <c r="O1084" s="13">
        <v>112.5</v>
      </c>
      <c r="P1084" s="16" t="str">
        <f>IF(AND(L1084&gt;0,O1084&gt;0),(O1084-L1084)/L1084,"")</f>
        <v/>
      </c>
      <c r="Q1084" s="18">
        <v>36</v>
      </c>
      <c r="R1084" s="18">
        <v>3</v>
      </c>
      <c r="S1084" s="21">
        <f>IF(N1084&gt;0,TODAY()-N1084,"")</f>
        <v>172</v>
      </c>
    </row>
    <row r="1085" ht="17" customHeight="1" spans="1:19" x14ac:dyDescent="0.25">
      <c r="A1085" s="3" t="s">
        <v>1934</v>
      </c>
      <c r="B1085" s="3" t="s">
        <v>1935</v>
      </c>
      <c r="C1085" s="3" t="s">
        <v>2192</v>
      </c>
      <c r="D1085" s="3" t="s">
        <v>2193</v>
      </c>
      <c r="E1085" s="4">
        <v>6</v>
      </c>
      <c r="F1085" s="5">
        <v>281.25</v>
      </c>
      <c r="G1085" s="6">
        <v>45868</v>
      </c>
      <c r="H1085" s="5">
        <v>281.25</v>
      </c>
      <c r="I1085" s="7" t="s">
        <v>24</v>
      </c>
      <c r="J1085" s="5"/>
      <c r="K1085" s="8" t="str">
        <f>IF(AND(H1085&gt;0,J1085&gt;0),(J1085-H1085)/H1085,"")</f>
        <v/>
      </c>
      <c r="L1085" s="5"/>
      <c r="M1085" s="8" t="str">
        <f>IF(AND(J1085&gt;0,L1085&gt;0),(L1085-J1085)/J1085,IF(AND(H1085&gt;0,L1085&gt;0),(L1085-H1085)/H1085,""))</f>
        <v/>
      </c>
      <c r="N1085" s="6">
        <v>45868</v>
      </c>
      <c r="O1085" s="5">
        <v>281.25</v>
      </c>
      <c r="P1085" s="8" t="str">
        <f>IF(AND(L1085&gt;0,O1085&gt;0),(O1085-L1085)/L1085,"")</f>
        <v/>
      </c>
      <c r="Q1085" s="9"/>
      <c r="R1085" s="9">
        <v>1</v>
      </c>
      <c r="S1085" s="10">
        <f>IF(N1085&gt;0,TODAY()-N1085,"")</f>
        <v>243</v>
      </c>
    </row>
    <row r="1086" ht="17" customHeight="1" spans="1:19" x14ac:dyDescent="0.25">
      <c r="A1086" s="11" t="s">
        <v>1934</v>
      </c>
      <c r="B1086" s="11" t="s">
        <v>1935</v>
      </c>
      <c r="C1086" s="11" t="s">
        <v>2194</v>
      </c>
      <c r="D1086" s="11" t="s">
        <v>2195</v>
      </c>
      <c r="E1086" s="12">
        <v>4</v>
      </c>
      <c r="F1086" s="13">
        <v>356.25</v>
      </c>
      <c r="G1086" s="14">
        <v>45868</v>
      </c>
      <c r="H1086" s="13">
        <v>356.25</v>
      </c>
      <c r="I1086" s="15" t="s">
        <v>24</v>
      </c>
      <c r="J1086" s="13"/>
      <c r="K1086" s="16" t="str">
        <f>IF(AND(H1086&gt;0,J1086&gt;0),(J1086-H1086)/H1086,"")</f>
        <v/>
      </c>
      <c r="L1086" s="13"/>
      <c r="M1086" s="16" t="str">
        <f>IF(AND(J1086&gt;0,L1086&gt;0),(L1086-J1086)/J1086,IF(AND(H1086&gt;0,L1086&gt;0),(L1086-H1086)/H1086,""))</f>
        <v/>
      </c>
      <c r="N1086" s="14">
        <v>45868</v>
      </c>
      <c r="O1086" s="13">
        <v>356.25</v>
      </c>
      <c r="P1086" s="16" t="str">
        <f>IF(AND(L1086&gt;0,O1086&gt;0),(O1086-L1086)/L1086,"")</f>
        <v/>
      </c>
      <c r="Q1086" s="18"/>
      <c r="R1086" s="18">
        <v>1</v>
      </c>
      <c r="S1086" s="10">
        <f>IF(N1086&gt;0,TODAY()-N1086,"")</f>
        <v>243</v>
      </c>
    </row>
    <row r="1087" ht="17" customHeight="1" spans="1:19" x14ac:dyDescent="0.25">
      <c r="A1087" s="3" t="s">
        <v>1934</v>
      </c>
      <c r="B1087" s="3" t="s">
        <v>1935</v>
      </c>
      <c r="C1087" s="3" t="s">
        <v>2196</v>
      </c>
      <c r="D1087" s="3" t="s">
        <v>2197</v>
      </c>
      <c r="E1087" s="4">
        <v>12</v>
      </c>
      <c r="F1087" s="5">
        <v>343.75</v>
      </c>
      <c r="G1087" s="6">
        <v>45882</v>
      </c>
      <c r="H1087" s="5">
        <v>343.75</v>
      </c>
      <c r="I1087" s="7" t="s">
        <v>24</v>
      </c>
      <c r="J1087" s="5"/>
      <c r="K1087" s="8" t="str">
        <f>IF(AND(H1087&gt;0,J1087&gt;0),(J1087-H1087)/H1087,"")</f>
        <v/>
      </c>
      <c r="L1087" s="5"/>
      <c r="M1087" s="8" t="str">
        <f>IF(AND(J1087&gt;0,L1087&gt;0),(L1087-J1087)/J1087,IF(AND(H1087&gt;0,L1087&gt;0),(L1087-H1087)/H1087,""))</f>
        <v/>
      </c>
      <c r="N1087" s="6">
        <v>45882</v>
      </c>
      <c r="O1087" s="5">
        <v>343.75</v>
      </c>
      <c r="P1087" s="8" t="str">
        <f>IF(AND(L1087&gt;0,O1087&gt;0),(O1087-L1087)/L1087,"")</f>
        <v/>
      </c>
      <c r="Q1087" s="9"/>
      <c r="R1087" s="9">
        <v>1</v>
      </c>
      <c r="S1087" s="10">
        <f>IF(N1087&gt;0,TODAY()-N1087,"")</f>
        <v>229</v>
      </c>
    </row>
    <row r="1088" ht="17" customHeight="1" spans="1:19" x14ac:dyDescent="0.25">
      <c r="A1088" s="11" t="s">
        <v>1934</v>
      </c>
      <c r="B1088" s="11" t="s">
        <v>1935</v>
      </c>
      <c r="C1088" s="11" t="s">
        <v>2198</v>
      </c>
      <c r="D1088" s="11" t="s">
        <v>2199</v>
      </c>
      <c r="E1088" s="12">
        <v>12</v>
      </c>
      <c r="F1088" s="13">
        <v>312.5</v>
      </c>
      <c r="G1088" s="14">
        <v>45882</v>
      </c>
      <c r="H1088" s="13">
        <v>312.5</v>
      </c>
      <c r="I1088" s="15" t="s">
        <v>24</v>
      </c>
      <c r="J1088" s="13"/>
      <c r="K1088" s="16" t="str">
        <f>IF(AND(H1088&gt;0,J1088&gt;0),(J1088-H1088)/H1088,"")</f>
        <v/>
      </c>
      <c r="L1088" s="13"/>
      <c r="M1088" s="16" t="str">
        <f>IF(AND(J1088&gt;0,L1088&gt;0),(L1088-J1088)/J1088,IF(AND(H1088&gt;0,L1088&gt;0),(L1088-H1088)/H1088,""))</f>
        <v/>
      </c>
      <c r="N1088" s="14">
        <v>45882</v>
      </c>
      <c r="O1088" s="13">
        <v>312.5</v>
      </c>
      <c r="P1088" s="16" t="str">
        <f>IF(AND(L1088&gt;0,O1088&gt;0),(O1088-L1088)/L1088,"")</f>
        <v/>
      </c>
      <c r="Q1088" s="18"/>
      <c r="R1088" s="18">
        <v>1</v>
      </c>
      <c r="S1088" s="10">
        <f>IF(N1088&gt;0,TODAY()-N1088,"")</f>
        <v>229</v>
      </c>
    </row>
    <row r="1089" ht="17" customHeight="1" spans="1:19" x14ac:dyDescent="0.25">
      <c r="A1089" s="3" t="s">
        <v>1934</v>
      </c>
      <c r="B1089" s="3" t="s">
        <v>1935</v>
      </c>
      <c r="C1089" s="3" t="s">
        <v>2200</v>
      </c>
      <c r="D1089" s="3" t="s">
        <v>2201</v>
      </c>
      <c r="E1089" s="4">
        <v>2</v>
      </c>
      <c r="F1089" s="5">
        <v>500</v>
      </c>
      <c r="G1089" s="6">
        <v>45800</v>
      </c>
      <c r="H1089" s="5">
        <v>295.45</v>
      </c>
      <c r="I1089" s="7" t="s">
        <v>24</v>
      </c>
      <c r="J1089" s="5"/>
      <c r="K1089" s="8" t="str">
        <f>IF(AND(H1089&gt;0,J1089&gt;0),(J1089-H1089)/H1089,"")</f>
        <v/>
      </c>
      <c r="L1089" s="5"/>
      <c r="M1089" s="8" t="str">
        <f>IF(AND(J1089&gt;0,L1089&gt;0),(L1089-J1089)/J1089,IF(AND(H1089&gt;0,L1089&gt;0),(L1089-H1089)/H1089,""))</f>
        <v/>
      </c>
      <c r="N1089" s="6">
        <v>45818</v>
      </c>
      <c r="O1089" s="5">
        <v>295.45</v>
      </c>
      <c r="P1089" s="8" t="str">
        <f>IF(AND(L1089&gt;0,O1089&gt;0),(O1089-L1089)/L1089,"")</f>
        <v/>
      </c>
      <c r="Q1089" s="9">
        <v>18</v>
      </c>
      <c r="R1089" s="9">
        <v>2</v>
      </c>
      <c r="S1089" s="10">
        <f>IF(N1089&gt;0,TODAY()-N1089,"")</f>
        <v>293</v>
      </c>
    </row>
    <row r="1090" ht="17" customHeight="1" spans="1:19" x14ac:dyDescent="0.25">
      <c r="A1090" s="11" t="s">
        <v>1934</v>
      </c>
      <c r="B1090" s="11" t="s">
        <v>1935</v>
      </c>
      <c r="C1090" s="11" t="s">
        <v>2202</v>
      </c>
      <c r="D1090" s="11" t="s">
        <v>2203</v>
      </c>
      <c r="E1090" s="12">
        <v>25</v>
      </c>
      <c r="F1090" s="13">
        <v>503.5</v>
      </c>
      <c r="G1090" s="14">
        <v>45797</v>
      </c>
      <c r="H1090" s="13">
        <v>503.5</v>
      </c>
      <c r="I1090" s="15" t="s">
        <v>24</v>
      </c>
      <c r="J1090" s="13"/>
      <c r="K1090" s="16" t="str">
        <f>IF(AND(H1090&gt;0,J1090&gt;0),(J1090-H1090)/H1090,"")</f>
        <v/>
      </c>
      <c r="L1090" s="13"/>
      <c r="M1090" s="16" t="str">
        <f>IF(AND(J1090&gt;0,L1090&gt;0),(L1090-J1090)/J1090,IF(AND(H1090&gt;0,L1090&gt;0),(L1090-H1090)/H1090,""))</f>
        <v/>
      </c>
      <c r="N1090" s="14">
        <v>45797</v>
      </c>
      <c r="O1090" s="13">
        <v>503.5</v>
      </c>
      <c r="P1090" s="16" t="str">
        <f>IF(AND(L1090&gt;0,O1090&gt;0),(O1090-L1090)/L1090,"")</f>
        <v/>
      </c>
      <c r="Q1090" s="18"/>
      <c r="R1090" s="18">
        <v>1</v>
      </c>
      <c r="S1090" s="10">
        <f>IF(N1090&gt;0,TODAY()-N1090,"")</f>
        <v>314</v>
      </c>
    </row>
    <row r="1091" ht="17" customHeight="1" spans="1:19" x14ac:dyDescent="0.25">
      <c r="A1091" s="3" t="s">
        <v>1934</v>
      </c>
      <c r="B1091" s="3" t="s">
        <v>1935</v>
      </c>
      <c r="C1091" s="3" t="s">
        <v>2204</v>
      </c>
      <c r="D1091" s="3" t="s">
        <v>2205</v>
      </c>
      <c r="E1091" s="4">
        <v>3</v>
      </c>
      <c r="F1091" s="5">
        <v>1000</v>
      </c>
      <c r="G1091" s="6">
        <v>45863</v>
      </c>
      <c r="H1091" s="5">
        <v>590.91</v>
      </c>
      <c r="I1091" s="7" t="s">
        <v>24</v>
      </c>
      <c r="J1091" s="5"/>
      <c r="K1091" s="8" t="str">
        <f>IF(AND(H1091&gt;0,J1091&gt;0),(J1091-H1091)/H1091,"")</f>
        <v/>
      </c>
      <c r="L1091" s="5"/>
      <c r="M1091" s="8" t="str">
        <f>IF(AND(J1091&gt;0,L1091&gt;0),(L1091-J1091)/J1091,IF(AND(H1091&gt;0,L1091&gt;0),(L1091-H1091)/H1091,""))</f>
        <v/>
      </c>
      <c r="N1091" s="6">
        <v>45863</v>
      </c>
      <c r="O1091" s="5">
        <v>590.91</v>
      </c>
      <c r="P1091" s="8" t="str">
        <f>IF(AND(L1091&gt;0,O1091&gt;0),(O1091-L1091)/L1091,"")</f>
        <v/>
      </c>
      <c r="Q1091" s="9"/>
      <c r="R1091" s="9">
        <v>1</v>
      </c>
      <c r="S1091" s="10">
        <f>IF(N1091&gt;0,TODAY()-N1091,"")</f>
        <v>248</v>
      </c>
    </row>
    <row r="1092" ht="17" customHeight="1" spans="1:19" x14ac:dyDescent="0.25">
      <c r="A1092" s="11" t="s">
        <v>1934</v>
      </c>
      <c r="B1092" s="11" t="s">
        <v>1935</v>
      </c>
      <c r="C1092" s="11" t="s">
        <v>2206</v>
      </c>
      <c r="D1092" s="11" t="s">
        <v>2207</v>
      </c>
      <c r="E1092" s="12">
        <v>1</v>
      </c>
      <c r="F1092" s="13">
        <v>132</v>
      </c>
      <c r="G1092" s="14">
        <v>45684</v>
      </c>
      <c r="H1092" s="13">
        <v>132</v>
      </c>
      <c r="I1092" s="15" t="s">
        <v>24</v>
      </c>
      <c r="J1092" s="13"/>
      <c r="K1092" s="16" t="str">
        <f>IF(AND(H1092&gt;0,J1092&gt;0),(J1092-H1092)/H1092,"")</f>
        <v/>
      </c>
      <c r="L1092" s="13"/>
      <c r="M1092" s="16" t="str">
        <f>IF(AND(J1092&gt;0,L1092&gt;0),(L1092-J1092)/J1092,IF(AND(H1092&gt;0,L1092&gt;0),(L1092-H1092)/H1092,""))</f>
        <v/>
      </c>
      <c r="N1092" s="14">
        <v>45684</v>
      </c>
      <c r="O1092" s="13">
        <v>132</v>
      </c>
      <c r="P1092" s="16" t="str">
        <f>IF(AND(L1092&gt;0,O1092&gt;0),(O1092-L1092)/L1092,"")</f>
        <v/>
      </c>
      <c r="Q1092" s="18"/>
      <c r="R1092" s="18">
        <v>1</v>
      </c>
      <c r="S1092" s="10">
        <f>IF(N1092&gt;0,TODAY()-N1092,"")</f>
        <v>427</v>
      </c>
    </row>
    <row r="1093" ht="17" customHeight="1" spans="1:19" x14ac:dyDescent="0.25">
      <c r="A1093" s="3" t="s">
        <v>1934</v>
      </c>
      <c r="B1093" s="3" t="s">
        <v>1935</v>
      </c>
      <c r="C1093" s="3" t="s">
        <v>2208</v>
      </c>
      <c r="D1093" s="3" t="s">
        <v>2209</v>
      </c>
      <c r="E1093" s="4">
        <v>22</v>
      </c>
      <c r="F1093" s="5">
        <v>350</v>
      </c>
      <c r="G1093" s="6">
        <v>45677</v>
      </c>
      <c r="H1093" s="5">
        <v>350</v>
      </c>
      <c r="I1093" s="7" t="s">
        <v>24</v>
      </c>
      <c r="J1093" s="5"/>
      <c r="K1093" s="8" t="str">
        <f>IF(AND(H1093&gt;0,J1093&gt;0),(J1093-H1093)/H1093,"")</f>
        <v/>
      </c>
      <c r="L1093" s="5"/>
      <c r="M1093" s="8" t="str">
        <f>IF(AND(J1093&gt;0,L1093&gt;0),(L1093-J1093)/J1093,IF(AND(H1093&gt;0,L1093&gt;0),(L1093-H1093)/H1093,""))</f>
        <v/>
      </c>
      <c r="N1093" s="6">
        <v>45742</v>
      </c>
      <c r="O1093" s="5">
        <v>350</v>
      </c>
      <c r="P1093" s="8" t="str">
        <f>IF(AND(L1093&gt;0,O1093&gt;0),(O1093-L1093)/L1093,"")</f>
        <v/>
      </c>
      <c r="Q1093" s="9">
        <v>33</v>
      </c>
      <c r="R1093" s="9">
        <v>3</v>
      </c>
      <c r="S1093" s="10">
        <f>IF(N1093&gt;0,TODAY()-N1093,"")</f>
        <v>369</v>
      </c>
    </row>
    <row r="1094" ht="17" customHeight="1" spans="1:19" x14ac:dyDescent="0.25">
      <c r="A1094" s="11" t="s">
        <v>1934</v>
      </c>
      <c r="B1094" s="11" t="s">
        <v>1935</v>
      </c>
      <c r="C1094" s="11" t="s">
        <v>2210</v>
      </c>
      <c r="D1094" s="11" t="s">
        <v>2209</v>
      </c>
      <c r="E1094" s="12">
        <v>13</v>
      </c>
      <c r="F1094" s="13">
        <v>350</v>
      </c>
      <c r="G1094" s="14">
        <v>45776</v>
      </c>
      <c r="H1094" s="13">
        <v>350</v>
      </c>
      <c r="I1094" s="15" t="s">
        <v>24</v>
      </c>
      <c r="J1094" s="13"/>
      <c r="K1094" s="16" t="str">
        <f>IF(AND(H1094&gt;0,J1094&gt;0),(J1094-H1094)/H1094,"")</f>
        <v/>
      </c>
      <c r="L1094" s="13"/>
      <c r="M1094" s="16" t="str">
        <f>IF(AND(J1094&gt;0,L1094&gt;0),(L1094-J1094)/J1094,IF(AND(H1094&gt;0,L1094&gt;0),(L1094-H1094)/H1094,""))</f>
        <v/>
      </c>
      <c r="N1094" s="14">
        <v>45776</v>
      </c>
      <c r="O1094" s="13">
        <v>350</v>
      </c>
      <c r="P1094" s="16" t="str">
        <f>IF(AND(L1094&gt;0,O1094&gt;0),(O1094-L1094)/L1094,"")</f>
        <v/>
      </c>
      <c r="Q1094" s="18"/>
      <c r="R1094" s="18">
        <v>1</v>
      </c>
      <c r="S1094" s="10">
        <f>IF(N1094&gt;0,TODAY()-N1094,"")</f>
        <v>335</v>
      </c>
    </row>
    <row r="1095" ht="17" customHeight="1" spans="1:19" x14ac:dyDescent="0.25">
      <c r="A1095" s="3" t="s">
        <v>1934</v>
      </c>
      <c r="B1095" s="3" t="s">
        <v>1935</v>
      </c>
      <c r="C1095" s="3" t="s">
        <v>2211</v>
      </c>
      <c r="D1095" s="3" t="s">
        <v>2212</v>
      </c>
      <c r="E1095" s="4">
        <v>11</v>
      </c>
      <c r="F1095" s="5">
        <v>486.3636363636364</v>
      </c>
      <c r="G1095" s="6">
        <v>45790</v>
      </c>
      <c r="H1095" s="5">
        <v>243.75</v>
      </c>
      <c r="I1095" s="7" t="s">
        <v>24</v>
      </c>
      <c r="J1095" s="5"/>
      <c r="K1095" s="8" t="str">
        <f>IF(AND(H1095&gt;0,J1095&gt;0),(J1095-H1095)/H1095,"")</f>
        <v/>
      </c>
      <c r="L1095" s="5"/>
      <c r="M1095" s="8" t="str">
        <f>IF(AND(J1095&gt;0,L1095&gt;0),(L1095-J1095)/J1095,IF(AND(H1095&gt;0,L1095&gt;0),(L1095-H1095)/H1095,""))</f>
        <v/>
      </c>
      <c r="N1095" s="6">
        <v>45863</v>
      </c>
      <c r="O1095" s="5">
        <v>297.92</v>
      </c>
      <c r="P1095" s="8" t="str">
        <f>IF(AND(L1095&gt;0,O1095&gt;0),(O1095-L1095)/L1095,"")</f>
        <v/>
      </c>
      <c r="Q1095" s="9">
        <v>73</v>
      </c>
      <c r="R1095" s="9">
        <v>2</v>
      </c>
      <c r="S1095" s="10">
        <f>IF(N1095&gt;0,TODAY()-N1095,"")</f>
        <v>248</v>
      </c>
    </row>
    <row r="1096" ht="17" customHeight="1" spans="1:19" x14ac:dyDescent="0.25">
      <c r="A1096" s="11" t="s">
        <v>1934</v>
      </c>
      <c r="B1096" s="11" t="s">
        <v>1935</v>
      </c>
      <c r="C1096" s="11" t="s">
        <v>2213</v>
      </c>
      <c r="D1096" s="11" t="s">
        <v>2214</v>
      </c>
      <c r="E1096" s="12">
        <v>2</v>
      </c>
      <c r="F1096" s="13">
        <v>186.6</v>
      </c>
      <c r="G1096" s="14">
        <v>45742</v>
      </c>
      <c r="H1096" s="13">
        <v>186.6</v>
      </c>
      <c r="I1096" s="15" t="s">
        <v>24</v>
      </c>
      <c r="J1096" s="13"/>
      <c r="K1096" s="16" t="str">
        <f>IF(AND(H1096&gt;0,J1096&gt;0),(J1096-H1096)/H1096,"")</f>
        <v/>
      </c>
      <c r="L1096" s="13"/>
      <c r="M1096" s="16" t="str">
        <f>IF(AND(J1096&gt;0,L1096&gt;0),(L1096-J1096)/J1096,IF(AND(H1096&gt;0,L1096&gt;0),(L1096-H1096)/H1096,""))</f>
        <v/>
      </c>
      <c r="N1096" s="14">
        <v>45742</v>
      </c>
      <c r="O1096" s="13">
        <v>186.6</v>
      </c>
      <c r="P1096" s="16" t="str">
        <f>IF(AND(L1096&gt;0,O1096&gt;0),(O1096-L1096)/L1096,"")</f>
        <v/>
      </c>
      <c r="Q1096" s="18"/>
      <c r="R1096" s="18">
        <v>1</v>
      </c>
      <c r="S1096" s="10">
        <f>IF(N1096&gt;0,TODAY()-N1096,"")</f>
        <v>369</v>
      </c>
    </row>
    <row r="1097" ht="17" customHeight="1" spans="1:19" x14ac:dyDescent="0.25">
      <c r="A1097" s="3" t="s">
        <v>1934</v>
      </c>
      <c r="B1097" s="3" t="s">
        <v>1935</v>
      </c>
      <c r="C1097" s="3" t="s">
        <v>2215</v>
      </c>
      <c r="D1097" s="3" t="s">
        <v>2216</v>
      </c>
      <c r="E1097" s="4">
        <v>25</v>
      </c>
      <c r="F1097" s="5">
        <v>922.78</v>
      </c>
      <c r="G1097" s="6">
        <v>45684</v>
      </c>
      <c r="H1097" s="5">
        <v>905.5</v>
      </c>
      <c r="I1097" s="7" t="s">
        <v>60</v>
      </c>
      <c r="J1097" s="5">
        <v>977.5</v>
      </c>
      <c r="K1097" s="24">
        <f>IF(AND(H1097&gt;0,J1097&gt;0),(J1097-H1097)/H1097,"")</f>
        <v>0.07951408061844285</v>
      </c>
      <c r="L1097" s="5"/>
      <c r="M1097" s="8" t="str">
        <f>IF(AND(J1097&gt;0,L1097&gt;0),(L1097-J1097)/J1097,IF(AND(H1097&gt;0,L1097&gt;0),(L1097-H1097)/H1097,""))</f>
        <v/>
      </c>
      <c r="N1097" s="6">
        <v>45964</v>
      </c>
      <c r="O1097" s="5">
        <v>977.5</v>
      </c>
      <c r="P1097" s="8" t="str">
        <f>IF(AND(L1097&gt;0,O1097&gt;0),(O1097-L1097)/L1097,"")</f>
        <v/>
      </c>
      <c r="Q1097" s="9">
        <v>70</v>
      </c>
      <c r="R1097" s="9">
        <v>5</v>
      </c>
      <c r="S1097" s="21">
        <f>IF(N1097&gt;0,TODAY()-N1097,"")</f>
        <v>147</v>
      </c>
    </row>
    <row r="1098" ht="17" customHeight="1" spans="1:19" x14ac:dyDescent="0.25">
      <c r="A1098" s="11" t="s">
        <v>1934</v>
      </c>
      <c r="B1098" s="11" t="s">
        <v>1935</v>
      </c>
      <c r="C1098" s="11" t="s">
        <v>2217</v>
      </c>
      <c r="D1098" s="11" t="s">
        <v>2218</v>
      </c>
      <c r="E1098" s="12">
        <v>17</v>
      </c>
      <c r="F1098" s="13">
        <v>182.94117647058823</v>
      </c>
      <c r="G1098" s="14">
        <v>45677</v>
      </c>
      <c r="H1098" s="13">
        <v>172</v>
      </c>
      <c r="I1098" s="15" t="s">
        <v>57</v>
      </c>
      <c r="J1098" s="13">
        <v>187.5</v>
      </c>
      <c r="K1098" s="17">
        <f>IF(AND(H1098&gt;0,J1098&gt;0),(J1098-H1098)/H1098,"")</f>
        <v>0.09011627906976744</v>
      </c>
      <c r="L1098" s="13"/>
      <c r="M1098" s="16" t="str">
        <f>IF(AND(J1098&gt;0,L1098&gt;0),(L1098-J1098)/J1098,IF(AND(H1098&gt;0,L1098&gt;0),(L1098-H1098)/H1098,""))</f>
        <v/>
      </c>
      <c r="N1098" s="14">
        <v>45953</v>
      </c>
      <c r="O1098" s="13">
        <v>187.5</v>
      </c>
      <c r="P1098" s="16" t="str">
        <f>IF(AND(L1098&gt;0,O1098&gt;0),(O1098-L1098)/L1098,"")</f>
        <v/>
      </c>
      <c r="Q1098" s="18">
        <v>46</v>
      </c>
      <c r="R1098" s="18">
        <v>7</v>
      </c>
      <c r="S1098" s="21">
        <f>IF(N1098&gt;0,TODAY()-N1098,"")</f>
        <v>158</v>
      </c>
    </row>
    <row r="1099" ht="17" customHeight="1" spans="1:19" x14ac:dyDescent="0.25">
      <c r="A1099" s="3" t="s">
        <v>1934</v>
      </c>
      <c r="B1099" s="3" t="s">
        <v>1935</v>
      </c>
      <c r="C1099" s="3" t="s">
        <v>2219</v>
      </c>
      <c r="D1099" s="3" t="s">
        <v>2220</v>
      </c>
      <c r="E1099" s="4">
        <v>2</v>
      </c>
      <c r="F1099" s="5">
        <v>400</v>
      </c>
      <c r="G1099" s="6">
        <v>45713</v>
      </c>
      <c r="H1099" s="5">
        <v>189.58</v>
      </c>
      <c r="I1099" s="7" t="s">
        <v>24</v>
      </c>
      <c r="J1099" s="5"/>
      <c r="K1099" s="8" t="str">
        <f>IF(AND(H1099&gt;0,J1099&gt;0),(J1099-H1099)/H1099,"")</f>
        <v/>
      </c>
      <c r="L1099" s="5"/>
      <c r="M1099" s="8" t="str">
        <f>IF(AND(J1099&gt;0,L1099&gt;0),(L1099-J1099)/J1099,IF(AND(H1099&gt;0,L1099&gt;0),(L1099-H1099)/H1099,""))</f>
        <v/>
      </c>
      <c r="N1099" s="6">
        <v>45845</v>
      </c>
      <c r="O1099" s="5">
        <v>243.75</v>
      </c>
      <c r="P1099" s="8" t="str">
        <f>IF(AND(L1099&gt;0,O1099&gt;0),(O1099-L1099)/L1099,"")</f>
        <v/>
      </c>
      <c r="Q1099" s="9">
        <v>132</v>
      </c>
      <c r="R1099" s="9">
        <v>2</v>
      </c>
      <c r="S1099" s="10">
        <f>IF(N1099&gt;0,TODAY()-N1099,"")</f>
        <v>266</v>
      </c>
    </row>
    <row r="1100" ht="17" customHeight="1" spans="1:19" x14ac:dyDescent="0.25">
      <c r="A1100" s="11" t="s">
        <v>1934</v>
      </c>
      <c r="B1100" s="11" t="s">
        <v>1935</v>
      </c>
      <c r="C1100" s="11" t="s">
        <v>2221</v>
      </c>
      <c r="D1100" s="11" t="s">
        <v>2220</v>
      </c>
      <c r="E1100" s="12">
        <v>1</v>
      </c>
      <c r="F1100" s="13">
        <v>450</v>
      </c>
      <c r="G1100" s="14">
        <v>45848</v>
      </c>
      <c r="H1100" s="13">
        <v>243.75</v>
      </c>
      <c r="I1100" s="15" t="s">
        <v>24</v>
      </c>
      <c r="J1100" s="13"/>
      <c r="K1100" s="16" t="str">
        <f>IF(AND(H1100&gt;0,J1100&gt;0),(J1100-H1100)/H1100,"")</f>
        <v/>
      </c>
      <c r="L1100" s="13"/>
      <c r="M1100" s="16" t="str">
        <f>IF(AND(J1100&gt;0,L1100&gt;0),(L1100-J1100)/J1100,IF(AND(H1100&gt;0,L1100&gt;0),(L1100-H1100)/H1100,""))</f>
        <v/>
      </c>
      <c r="N1100" s="14">
        <v>45848</v>
      </c>
      <c r="O1100" s="13">
        <v>243.75</v>
      </c>
      <c r="P1100" s="16" t="str">
        <f>IF(AND(L1100&gt;0,O1100&gt;0),(O1100-L1100)/L1100,"")</f>
        <v/>
      </c>
      <c r="Q1100" s="18"/>
      <c r="R1100" s="18">
        <v>1</v>
      </c>
      <c r="S1100" s="10">
        <f>IF(N1100&gt;0,TODAY()-N1100,"")</f>
        <v>263</v>
      </c>
    </row>
    <row r="1101" ht="17" customHeight="1" spans="1:19" x14ac:dyDescent="0.25">
      <c r="A1101" s="3" t="s">
        <v>1934</v>
      </c>
      <c r="B1101" s="3" t="s">
        <v>1935</v>
      </c>
      <c r="C1101" s="3" t="s">
        <v>2222</v>
      </c>
      <c r="D1101" s="3" t="s">
        <v>2220</v>
      </c>
      <c r="E1101" s="4">
        <v>2</v>
      </c>
      <c r="F1101" s="5">
        <v>450</v>
      </c>
      <c r="G1101" s="6">
        <v>45848</v>
      </c>
      <c r="H1101" s="5">
        <v>243.75</v>
      </c>
      <c r="I1101" s="7" t="s">
        <v>24</v>
      </c>
      <c r="J1101" s="5"/>
      <c r="K1101" s="8" t="str">
        <f>IF(AND(H1101&gt;0,J1101&gt;0),(J1101-H1101)/H1101,"")</f>
        <v/>
      </c>
      <c r="L1101" s="5"/>
      <c r="M1101" s="8" t="str">
        <f>IF(AND(J1101&gt;0,L1101&gt;0),(L1101-J1101)/J1101,IF(AND(H1101&gt;0,L1101&gt;0),(L1101-H1101)/H1101,""))</f>
        <v/>
      </c>
      <c r="N1101" s="6">
        <v>45863</v>
      </c>
      <c r="O1101" s="5">
        <v>243.75</v>
      </c>
      <c r="P1101" s="8" t="str">
        <f>IF(AND(L1101&gt;0,O1101&gt;0),(O1101-L1101)/L1101,"")</f>
        <v/>
      </c>
      <c r="Q1101" s="9">
        <v>15</v>
      </c>
      <c r="R1101" s="9">
        <v>2</v>
      </c>
      <c r="S1101" s="10">
        <f>IF(N1101&gt;0,TODAY()-N1101,"")</f>
        <v>248</v>
      </c>
    </row>
    <row r="1102" ht="17" customHeight="1" spans="1:19" x14ac:dyDescent="0.25">
      <c r="A1102" s="11" t="s">
        <v>1934</v>
      </c>
      <c r="B1102" s="11" t="s">
        <v>1935</v>
      </c>
      <c r="C1102" s="11" t="s">
        <v>2223</v>
      </c>
      <c r="D1102" s="11" t="s">
        <v>2224</v>
      </c>
      <c r="E1102" s="12">
        <v>1</v>
      </c>
      <c r="F1102" s="13">
        <v>300</v>
      </c>
      <c r="G1102" s="14">
        <v>45671</v>
      </c>
      <c r="H1102" s="13">
        <v>162.5</v>
      </c>
      <c r="I1102" s="15" t="s">
        <v>24</v>
      </c>
      <c r="J1102" s="13"/>
      <c r="K1102" s="16" t="str">
        <f>IF(AND(H1102&gt;0,J1102&gt;0),(J1102-H1102)/H1102,"")</f>
        <v/>
      </c>
      <c r="L1102" s="13"/>
      <c r="M1102" s="16" t="str">
        <f>IF(AND(J1102&gt;0,L1102&gt;0),(L1102-J1102)/J1102,IF(AND(H1102&gt;0,L1102&gt;0),(L1102-H1102)/H1102,""))</f>
        <v/>
      </c>
      <c r="N1102" s="14">
        <v>45671</v>
      </c>
      <c r="O1102" s="13">
        <v>162.5</v>
      </c>
      <c r="P1102" s="16" t="str">
        <f>IF(AND(L1102&gt;0,O1102&gt;0),(O1102-L1102)/L1102,"")</f>
        <v/>
      </c>
      <c r="Q1102" s="18"/>
      <c r="R1102" s="18">
        <v>1</v>
      </c>
      <c r="S1102" s="10">
        <f>IF(N1102&gt;0,TODAY()-N1102,"")</f>
        <v>440</v>
      </c>
    </row>
    <row r="1103" ht="17" customHeight="1" spans="1:19" x14ac:dyDescent="0.25">
      <c r="A1103" s="3" t="s">
        <v>1934</v>
      </c>
      <c r="B1103" s="3" t="s">
        <v>1935</v>
      </c>
      <c r="C1103" s="3" t="s">
        <v>2225</v>
      </c>
      <c r="D1103" s="3" t="s">
        <v>2226</v>
      </c>
      <c r="E1103" s="4">
        <v>2</v>
      </c>
      <c r="F1103" s="5">
        <v>550</v>
      </c>
      <c r="G1103" s="6">
        <v>45769</v>
      </c>
      <c r="H1103" s="5">
        <v>297.92</v>
      </c>
      <c r="I1103" s="7" t="s">
        <v>24</v>
      </c>
      <c r="J1103" s="5"/>
      <c r="K1103" s="8" t="str">
        <f>IF(AND(H1103&gt;0,J1103&gt;0),(J1103-H1103)/H1103,"")</f>
        <v/>
      </c>
      <c r="L1103" s="5"/>
      <c r="M1103" s="8" t="str">
        <f>IF(AND(J1103&gt;0,L1103&gt;0),(L1103-J1103)/J1103,IF(AND(H1103&gt;0,L1103&gt;0),(L1103-H1103)/H1103,""))</f>
        <v/>
      </c>
      <c r="N1103" s="6">
        <v>45790</v>
      </c>
      <c r="O1103" s="5">
        <v>297.92</v>
      </c>
      <c r="P1103" s="8" t="str">
        <f>IF(AND(L1103&gt;0,O1103&gt;0),(O1103-L1103)/L1103,"")</f>
        <v/>
      </c>
      <c r="Q1103" s="9">
        <v>21</v>
      </c>
      <c r="R1103" s="9">
        <v>2</v>
      </c>
      <c r="S1103" s="10">
        <f>IF(N1103&gt;0,TODAY()-N1103,"")</f>
        <v>321</v>
      </c>
    </row>
    <row r="1104" ht="17" customHeight="1" spans="1:19" x14ac:dyDescent="0.25">
      <c r="A1104" s="11" t="s">
        <v>1934</v>
      </c>
      <c r="B1104" s="11" t="s">
        <v>1935</v>
      </c>
      <c r="C1104" s="11" t="s">
        <v>2227</v>
      </c>
      <c r="D1104" s="11" t="s">
        <v>2228</v>
      </c>
      <c r="E1104" s="12">
        <v>11</v>
      </c>
      <c r="F1104" s="13">
        <v>300</v>
      </c>
      <c r="G1104" s="14">
        <v>45713</v>
      </c>
      <c r="H1104" s="13">
        <v>177.27</v>
      </c>
      <c r="I1104" s="15" t="s">
        <v>24</v>
      </c>
      <c r="J1104" s="13"/>
      <c r="K1104" s="16" t="str">
        <f>IF(AND(H1104&gt;0,J1104&gt;0),(J1104-H1104)/H1104,"")</f>
        <v/>
      </c>
      <c r="L1104" s="13"/>
      <c r="M1104" s="16" t="str">
        <f>IF(AND(J1104&gt;0,L1104&gt;0),(L1104-J1104)/J1104,IF(AND(H1104&gt;0,L1104&gt;0),(L1104-H1104)/H1104,""))</f>
        <v/>
      </c>
      <c r="N1104" s="14">
        <v>45824</v>
      </c>
      <c r="O1104" s="13">
        <v>177.28</v>
      </c>
      <c r="P1104" s="16" t="str">
        <f>IF(AND(L1104&gt;0,O1104&gt;0),(O1104-L1104)/L1104,"")</f>
        <v/>
      </c>
      <c r="Q1104" s="18">
        <v>16</v>
      </c>
      <c r="R1104" s="18">
        <v>8</v>
      </c>
      <c r="S1104" s="10">
        <f>IF(N1104&gt;0,TODAY()-N1104,"")</f>
        <v>287</v>
      </c>
    </row>
    <row r="1105" ht="17" customHeight="1" spans="1:19" x14ac:dyDescent="0.25">
      <c r="A1105" s="3" t="s">
        <v>1934</v>
      </c>
      <c r="B1105" s="3" t="s">
        <v>1935</v>
      </c>
      <c r="C1105" s="3" t="s">
        <v>2229</v>
      </c>
      <c r="D1105" s="3" t="s">
        <v>2230</v>
      </c>
      <c r="E1105" s="4">
        <v>15</v>
      </c>
      <c r="F1105" s="5">
        <v>218.18200000000004</v>
      </c>
      <c r="G1105" s="6">
        <v>45833</v>
      </c>
      <c r="H1105" s="5">
        <v>218.18</v>
      </c>
      <c r="I1105" s="7" t="s">
        <v>24</v>
      </c>
      <c r="J1105" s="5"/>
      <c r="K1105" s="8" t="str">
        <f>IF(AND(H1105&gt;0,J1105&gt;0),(J1105-H1105)/H1105,"")</f>
        <v/>
      </c>
      <c r="L1105" s="5"/>
      <c r="M1105" s="8" t="str">
        <f>IF(AND(J1105&gt;0,L1105&gt;0),(L1105-J1105)/J1105,IF(AND(H1105&gt;0,L1105&gt;0),(L1105-H1105)/H1105,""))</f>
        <v/>
      </c>
      <c r="N1105" s="6">
        <v>45875</v>
      </c>
      <c r="O1105" s="5">
        <v>218.18</v>
      </c>
      <c r="P1105" s="8" t="str">
        <f>IF(AND(L1105&gt;0,O1105&gt;0),(O1105-L1105)/L1105,"")</f>
        <v/>
      </c>
      <c r="Q1105" s="9">
        <v>42</v>
      </c>
      <c r="R1105" s="9">
        <v>2</v>
      </c>
      <c r="S1105" s="10">
        <f>IF(N1105&gt;0,TODAY()-N1105,"")</f>
        <v>236</v>
      </c>
    </row>
    <row r="1106" ht="17" customHeight="1" spans="1:19" x14ac:dyDescent="0.25">
      <c r="A1106" s="11" t="s">
        <v>1934</v>
      </c>
      <c r="B1106" s="11" t="s">
        <v>1935</v>
      </c>
      <c r="C1106" s="11" t="s">
        <v>2231</v>
      </c>
      <c r="D1106" s="11" t="s">
        <v>2232</v>
      </c>
      <c r="E1106" s="12">
        <v>20</v>
      </c>
      <c r="F1106" s="13">
        <v>218.18190000000004</v>
      </c>
      <c r="G1106" s="14">
        <v>45833</v>
      </c>
      <c r="H1106" s="13">
        <v>218.18</v>
      </c>
      <c r="I1106" s="15" t="s">
        <v>24</v>
      </c>
      <c r="J1106" s="13"/>
      <c r="K1106" s="16" t="str">
        <f>IF(AND(H1106&gt;0,J1106&gt;0),(J1106-H1106)/H1106,"")</f>
        <v/>
      </c>
      <c r="L1106" s="13"/>
      <c r="M1106" s="16" t="str">
        <f>IF(AND(J1106&gt;0,L1106&gt;0),(L1106-J1106)/J1106,IF(AND(H1106&gt;0,L1106&gt;0),(L1106-H1106)/H1106,""))</f>
        <v/>
      </c>
      <c r="N1106" s="14">
        <v>45875</v>
      </c>
      <c r="O1106" s="13">
        <v>218.18</v>
      </c>
      <c r="P1106" s="16" t="str">
        <f>IF(AND(L1106&gt;0,O1106&gt;0),(O1106-L1106)/L1106,"")</f>
        <v/>
      </c>
      <c r="Q1106" s="18">
        <v>42</v>
      </c>
      <c r="R1106" s="18">
        <v>2</v>
      </c>
      <c r="S1106" s="10">
        <f>IF(N1106&gt;0,TODAY()-N1106,"")</f>
        <v>236</v>
      </c>
    </row>
    <row r="1107" ht="17" customHeight="1" spans="1:19" x14ac:dyDescent="0.25">
      <c r="A1107" s="3" t="s">
        <v>1934</v>
      </c>
      <c r="B1107" s="3" t="s">
        <v>1935</v>
      </c>
      <c r="C1107" s="3" t="s">
        <v>2233</v>
      </c>
      <c r="D1107" s="3" t="s">
        <v>2234</v>
      </c>
      <c r="E1107" s="4">
        <v>2</v>
      </c>
      <c r="F1107" s="5">
        <v>728.25</v>
      </c>
      <c r="G1107" s="6">
        <v>45727</v>
      </c>
      <c r="H1107" s="5">
        <v>728.25</v>
      </c>
      <c r="I1107" s="7" t="s">
        <v>24</v>
      </c>
      <c r="J1107" s="5"/>
      <c r="K1107" s="8" t="str">
        <f>IF(AND(H1107&gt;0,J1107&gt;0),(J1107-H1107)/H1107,"")</f>
        <v/>
      </c>
      <c r="L1107" s="5"/>
      <c r="M1107" s="8" t="str">
        <f>IF(AND(J1107&gt;0,L1107&gt;0),(L1107-J1107)/J1107,IF(AND(H1107&gt;0,L1107&gt;0),(L1107-H1107)/H1107,""))</f>
        <v/>
      </c>
      <c r="N1107" s="6">
        <v>45727</v>
      </c>
      <c r="O1107" s="5">
        <v>728.25</v>
      </c>
      <c r="P1107" s="8" t="str">
        <f>IF(AND(L1107&gt;0,O1107&gt;0),(O1107-L1107)/L1107,"")</f>
        <v/>
      </c>
      <c r="Q1107" s="9"/>
      <c r="R1107" s="9">
        <v>1</v>
      </c>
      <c r="S1107" s="10">
        <f>IF(N1107&gt;0,TODAY()-N1107,"")</f>
        <v>384</v>
      </c>
    </row>
    <row r="1108" ht="17" customHeight="1" spans="1:19" x14ac:dyDescent="0.25">
      <c r="A1108" s="11" t="s">
        <v>1934</v>
      </c>
      <c r="B1108" s="11" t="s">
        <v>1935</v>
      </c>
      <c r="C1108" s="11" t="s">
        <v>2235</v>
      </c>
      <c r="D1108" s="11" t="s">
        <v>2236</v>
      </c>
      <c r="E1108" s="12">
        <v>2</v>
      </c>
      <c r="F1108" s="13">
        <v>794.25</v>
      </c>
      <c r="G1108" s="14">
        <v>45727</v>
      </c>
      <c r="H1108" s="13">
        <v>794.25</v>
      </c>
      <c r="I1108" s="15" t="s">
        <v>24</v>
      </c>
      <c r="J1108" s="13"/>
      <c r="K1108" s="16" t="str">
        <f>IF(AND(H1108&gt;0,J1108&gt;0),(J1108-H1108)/H1108,"")</f>
        <v/>
      </c>
      <c r="L1108" s="13"/>
      <c r="M1108" s="16" t="str">
        <f>IF(AND(J1108&gt;0,L1108&gt;0),(L1108-J1108)/J1108,IF(AND(H1108&gt;0,L1108&gt;0),(L1108-H1108)/H1108,""))</f>
        <v/>
      </c>
      <c r="N1108" s="14">
        <v>45727</v>
      </c>
      <c r="O1108" s="13">
        <v>794.25</v>
      </c>
      <c r="P1108" s="16" t="str">
        <f>IF(AND(L1108&gt;0,O1108&gt;0),(O1108-L1108)/L1108,"")</f>
        <v/>
      </c>
      <c r="Q1108" s="18"/>
      <c r="R1108" s="18">
        <v>1</v>
      </c>
      <c r="S1108" s="10">
        <f>IF(N1108&gt;0,TODAY()-N1108,"")</f>
        <v>384</v>
      </c>
    </row>
    <row r="1109" ht="17" customHeight="1" spans="1:19" x14ac:dyDescent="0.25">
      <c r="A1109" s="3" t="s">
        <v>1934</v>
      </c>
      <c r="B1109" s="3" t="s">
        <v>1935</v>
      </c>
      <c r="C1109" s="3" t="s">
        <v>2237</v>
      </c>
      <c r="D1109" s="3" t="s">
        <v>2238</v>
      </c>
      <c r="E1109" s="4">
        <v>2</v>
      </c>
      <c r="F1109" s="5">
        <v>728.25</v>
      </c>
      <c r="G1109" s="6">
        <v>45727</v>
      </c>
      <c r="H1109" s="5">
        <v>728.25</v>
      </c>
      <c r="I1109" s="7" t="s">
        <v>24</v>
      </c>
      <c r="J1109" s="5"/>
      <c r="K1109" s="8" t="str">
        <f>IF(AND(H1109&gt;0,J1109&gt;0),(J1109-H1109)/H1109,"")</f>
        <v/>
      </c>
      <c r="L1109" s="5"/>
      <c r="M1109" s="8" t="str">
        <f>IF(AND(J1109&gt;0,L1109&gt;0),(L1109-J1109)/J1109,IF(AND(H1109&gt;0,L1109&gt;0),(L1109-H1109)/H1109,""))</f>
        <v/>
      </c>
      <c r="N1109" s="6">
        <v>45727</v>
      </c>
      <c r="O1109" s="5">
        <v>728.25</v>
      </c>
      <c r="P1109" s="8" t="str">
        <f>IF(AND(L1109&gt;0,O1109&gt;0),(O1109-L1109)/L1109,"")</f>
        <v/>
      </c>
      <c r="Q1109" s="9"/>
      <c r="R1109" s="9">
        <v>1</v>
      </c>
      <c r="S1109" s="10">
        <f>IF(N1109&gt;0,TODAY()-N1109,"")</f>
        <v>384</v>
      </c>
    </row>
    <row r="1110" ht="17" customHeight="1" spans="1:19" x14ac:dyDescent="0.25">
      <c r="A1110" s="11" t="s">
        <v>1934</v>
      </c>
      <c r="B1110" s="11" t="s">
        <v>1935</v>
      </c>
      <c r="C1110" s="11" t="s">
        <v>2239</v>
      </c>
      <c r="D1110" s="11" t="s">
        <v>2240</v>
      </c>
      <c r="E1110" s="12">
        <v>2</v>
      </c>
      <c r="F1110" s="13">
        <v>728.25</v>
      </c>
      <c r="G1110" s="14">
        <v>45727</v>
      </c>
      <c r="H1110" s="13">
        <v>728.25</v>
      </c>
      <c r="I1110" s="15" t="s">
        <v>24</v>
      </c>
      <c r="J1110" s="13"/>
      <c r="K1110" s="16" t="str">
        <f>IF(AND(H1110&gt;0,J1110&gt;0),(J1110-H1110)/H1110,"")</f>
        <v/>
      </c>
      <c r="L1110" s="13"/>
      <c r="M1110" s="16" t="str">
        <f>IF(AND(J1110&gt;0,L1110&gt;0),(L1110-J1110)/J1110,IF(AND(H1110&gt;0,L1110&gt;0),(L1110-H1110)/H1110,""))</f>
        <v/>
      </c>
      <c r="N1110" s="14">
        <v>45727</v>
      </c>
      <c r="O1110" s="13">
        <v>728.25</v>
      </c>
      <c r="P1110" s="16" t="str">
        <f>IF(AND(L1110&gt;0,O1110&gt;0),(O1110-L1110)/L1110,"")</f>
        <v/>
      </c>
      <c r="Q1110" s="18"/>
      <c r="R1110" s="18">
        <v>1</v>
      </c>
      <c r="S1110" s="10">
        <f>IF(N1110&gt;0,TODAY()-N1110,"")</f>
        <v>384</v>
      </c>
    </row>
    <row r="1111" ht="17" customHeight="1" spans="1:19" x14ac:dyDescent="0.25">
      <c r="A1111" s="3" t="s">
        <v>1934</v>
      </c>
      <c r="B1111" s="3" t="s">
        <v>1935</v>
      </c>
      <c r="C1111" s="3" t="s">
        <v>2241</v>
      </c>
      <c r="D1111" s="3" t="s">
        <v>2242</v>
      </c>
      <c r="E1111" s="4">
        <v>2</v>
      </c>
      <c r="F1111" s="5">
        <v>728.25</v>
      </c>
      <c r="G1111" s="6">
        <v>45727</v>
      </c>
      <c r="H1111" s="5">
        <v>728.25</v>
      </c>
      <c r="I1111" s="7" t="s">
        <v>24</v>
      </c>
      <c r="J1111" s="5"/>
      <c r="K1111" s="8" t="str">
        <f>IF(AND(H1111&gt;0,J1111&gt;0),(J1111-H1111)/H1111,"")</f>
        <v/>
      </c>
      <c r="L1111" s="5"/>
      <c r="M1111" s="8" t="str">
        <f>IF(AND(J1111&gt;0,L1111&gt;0),(L1111-J1111)/J1111,IF(AND(H1111&gt;0,L1111&gt;0),(L1111-H1111)/H1111,""))</f>
        <v/>
      </c>
      <c r="N1111" s="6">
        <v>45727</v>
      </c>
      <c r="O1111" s="5">
        <v>728.25</v>
      </c>
      <c r="P1111" s="8" t="str">
        <f>IF(AND(L1111&gt;0,O1111&gt;0),(O1111-L1111)/L1111,"")</f>
        <v/>
      </c>
      <c r="Q1111" s="9"/>
      <c r="R1111" s="9">
        <v>1</v>
      </c>
      <c r="S1111" s="10">
        <f>IF(N1111&gt;0,TODAY()-N1111,"")</f>
        <v>384</v>
      </c>
    </row>
    <row r="1112" ht="17" customHeight="1" spans="1:19" x14ac:dyDescent="0.25">
      <c r="A1112" s="11" t="s">
        <v>1934</v>
      </c>
      <c r="B1112" s="11" t="s">
        <v>1935</v>
      </c>
      <c r="C1112" s="11" t="s">
        <v>2243</v>
      </c>
      <c r="D1112" s="11" t="s">
        <v>2244</v>
      </c>
      <c r="E1112" s="12">
        <v>2</v>
      </c>
      <c r="F1112" s="13">
        <v>728.25</v>
      </c>
      <c r="G1112" s="14">
        <v>45727</v>
      </c>
      <c r="H1112" s="13">
        <v>728.25</v>
      </c>
      <c r="I1112" s="15" t="s">
        <v>24</v>
      </c>
      <c r="J1112" s="13"/>
      <c r="K1112" s="16" t="str">
        <f>IF(AND(H1112&gt;0,J1112&gt;0),(J1112-H1112)/H1112,"")</f>
        <v/>
      </c>
      <c r="L1112" s="13"/>
      <c r="M1112" s="16" t="str">
        <f>IF(AND(J1112&gt;0,L1112&gt;0),(L1112-J1112)/J1112,IF(AND(H1112&gt;0,L1112&gt;0),(L1112-H1112)/H1112,""))</f>
        <v/>
      </c>
      <c r="N1112" s="14">
        <v>45727</v>
      </c>
      <c r="O1112" s="13">
        <v>728.25</v>
      </c>
      <c r="P1112" s="16" t="str">
        <f>IF(AND(L1112&gt;0,O1112&gt;0),(O1112-L1112)/L1112,"")</f>
        <v/>
      </c>
      <c r="Q1112" s="18"/>
      <c r="R1112" s="18">
        <v>1</v>
      </c>
      <c r="S1112" s="10">
        <f>IF(N1112&gt;0,TODAY()-N1112,"")</f>
        <v>384</v>
      </c>
    </row>
    <row r="1113" ht="17" customHeight="1" spans="1:19" x14ac:dyDescent="0.25">
      <c r="A1113" s="3" t="s">
        <v>1934</v>
      </c>
      <c r="B1113" s="3" t="s">
        <v>1935</v>
      </c>
      <c r="C1113" s="3" t="s">
        <v>2245</v>
      </c>
      <c r="D1113" s="3" t="s">
        <v>2246</v>
      </c>
      <c r="E1113" s="4">
        <v>2</v>
      </c>
      <c r="F1113" s="5">
        <v>415.8</v>
      </c>
      <c r="G1113" s="6">
        <v>45727</v>
      </c>
      <c r="H1113" s="5">
        <v>415.8</v>
      </c>
      <c r="I1113" s="7" t="s">
        <v>24</v>
      </c>
      <c r="J1113" s="5"/>
      <c r="K1113" s="8" t="str">
        <f>IF(AND(H1113&gt;0,J1113&gt;0),(J1113-H1113)/H1113,"")</f>
        <v/>
      </c>
      <c r="L1113" s="5"/>
      <c r="M1113" s="8" t="str">
        <f>IF(AND(J1113&gt;0,L1113&gt;0),(L1113-J1113)/J1113,IF(AND(H1113&gt;0,L1113&gt;0),(L1113-H1113)/H1113,""))</f>
        <v/>
      </c>
      <c r="N1113" s="6">
        <v>45727</v>
      </c>
      <c r="O1113" s="5">
        <v>415.8</v>
      </c>
      <c r="P1113" s="8" t="str">
        <f>IF(AND(L1113&gt;0,O1113&gt;0),(O1113-L1113)/L1113,"")</f>
        <v/>
      </c>
      <c r="Q1113" s="9"/>
      <c r="R1113" s="9">
        <v>1</v>
      </c>
      <c r="S1113" s="10">
        <f>IF(N1113&gt;0,TODAY()-N1113,"")</f>
        <v>384</v>
      </c>
    </row>
    <row r="1114" ht="17" customHeight="1" spans="1:19" x14ac:dyDescent="0.25">
      <c r="A1114" s="11" t="s">
        <v>1934</v>
      </c>
      <c r="B1114" s="11" t="s">
        <v>1935</v>
      </c>
      <c r="C1114" s="11" t="s">
        <v>2247</v>
      </c>
      <c r="D1114" s="11" t="s">
        <v>2248</v>
      </c>
      <c r="E1114" s="12">
        <v>2</v>
      </c>
      <c r="F1114" s="13">
        <v>670.61</v>
      </c>
      <c r="G1114" s="14">
        <v>45727</v>
      </c>
      <c r="H1114" s="13">
        <v>670.61</v>
      </c>
      <c r="I1114" s="15" t="s">
        <v>24</v>
      </c>
      <c r="J1114" s="13"/>
      <c r="K1114" s="16" t="str">
        <f>IF(AND(H1114&gt;0,J1114&gt;0),(J1114-H1114)/H1114,"")</f>
        <v/>
      </c>
      <c r="L1114" s="13"/>
      <c r="M1114" s="16" t="str">
        <f>IF(AND(J1114&gt;0,L1114&gt;0),(L1114-J1114)/J1114,IF(AND(H1114&gt;0,L1114&gt;0),(L1114-H1114)/H1114,""))</f>
        <v/>
      </c>
      <c r="N1114" s="14">
        <v>45727</v>
      </c>
      <c r="O1114" s="13">
        <v>670.61</v>
      </c>
      <c r="P1114" s="16" t="str">
        <f>IF(AND(L1114&gt;0,O1114&gt;0),(O1114-L1114)/L1114,"")</f>
        <v/>
      </c>
      <c r="Q1114" s="18"/>
      <c r="R1114" s="18">
        <v>1</v>
      </c>
      <c r="S1114" s="10">
        <f>IF(N1114&gt;0,TODAY()-N1114,"")</f>
        <v>384</v>
      </c>
    </row>
    <row r="1115" ht="17" customHeight="1" spans="1:19" x14ac:dyDescent="0.25">
      <c r="A1115" s="3" t="s">
        <v>1934</v>
      </c>
      <c r="B1115" s="3" t="s">
        <v>1935</v>
      </c>
      <c r="C1115" s="3" t="s">
        <v>2249</v>
      </c>
      <c r="D1115" s="3" t="s">
        <v>2250</v>
      </c>
      <c r="E1115" s="4">
        <v>2</v>
      </c>
      <c r="F1115" s="5">
        <v>670.61</v>
      </c>
      <c r="G1115" s="6">
        <v>45727</v>
      </c>
      <c r="H1115" s="5">
        <v>670.61</v>
      </c>
      <c r="I1115" s="7" t="s">
        <v>24</v>
      </c>
      <c r="J1115" s="5"/>
      <c r="K1115" s="8" t="str">
        <f>IF(AND(H1115&gt;0,J1115&gt;0),(J1115-H1115)/H1115,"")</f>
        <v/>
      </c>
      <c r="L1115" s="5"/>
      <c r="M1115" s="8" t="str">
        <f>IF(AND(J1115&gt;0,L1115&gt;0),(L1115-J1115)/J1115,IF(AND(H1115&gt;0,L1115&gt;0),(L1115-H1115)/H1115,""))</f>
        <v/>
      </c>
      <c r="N1115" s="6">
        <v>45727</v>
      </c>
      <c r="O1115" s="5">
        <v>670.61</v>
      </c>
      <c r="P1115" s="8" t="str">
        <f>IF(AND(L1115&gt;0,O1115&gt;0),(O1115-L1115)/L1115,"")</f>
        <v/>
      </c>
      <c r="Q1115" s="9"/>
      <c r="R1115" s="9">
        <v>1</v>
      </c>
      <c r="S1115" s="10">
        <f>IF(N1115&gt;0,TODAY()-N1115,"")</f>
        <v>384</v>
      </c>
    </row>
    <row r="1116" ht="17" customHeight="1" spans="1:19" x14ac:dyDescent="0.25">
      <c r="A1116" s="11" t="s">
        <v>1934</v>
      </c>
      <c r="B1116" s="11" t="s">
        <v>1935</v>
      </c>
      <c r="C1116" s="11" t="s">
        <v>2251</v>
      </c>
      <c r="D1116" s="11" t="s">
        <v>2252</v>
      </c>
      <c r="E1116" s="12">
        <v>2</v>
      </c>
      <c r="F1116" s="13">
        <v>670.61</v>
      </c>
      <c r="G1116" s="14">
        <v>45727</v>
      </c>
      <c r="H1116" s="13">
        <v>670.61</v>
      </c>
      <c r="I1116" s="15" t="s">
        <v>24</v>
      </c>
      <c r="J1116" s="13"/>
      <c r="K1116" s="16" t="str">
        <f>IF(AND(H1116&gt;0,J1116&gt;0),(J1116-H1116)/H1116,"")</f>
        <v/>
      </c>
      <c r="L1116" s="13"/>
      <c r="M1116" s="16" t="str">
        <f>IF(AND(J1116&gt;0,L1116&gt;0),(L1116-J1116)/J1116,IF(AND(H1116&gt;0,L1116&gt;0),(L1116-H1116)/H1116,""))</f>
        <v/>
      </c>
      <c r="N1116" s="14">
        <v>45727</v>
      </c>
      <c r="O1116" s="13">
        <v>670.61</v>
      </c>
      <c r="P1116" s="16" t="str">
        <f>IF(AND(L1116&gt;0,O1116&gt;0),(O1116-L1116)/L1116,"")</f>
        <v/>
      </c>
      <c r="Q1116" s="18"/>
      <c r="R1116" s="18">
        <v>1</v>
      </c>
      <c r="S1116" s="10">
        <f>IF(N1116&gt;0,TODAY()-N1116,"")</f>
        <v>384</v>
      </c>
    </row>
    <row r="1117" ht="17" customHeight="1" spans="1:19" x14ac:dyDescent="0.25">
      <c r="A1117" s="3" t="s">
        <v>1934</v>
      </c>
      <c r="B1117" s="3" t="s">
        <v>1935</v>
      </c>
      <c r="C1117" s="3" t="s">
        <v>2253</v>
      </c>
      <c r="D1117" s="3" t="s">
        <v>2254</v>
      </c>
      <c r="E1117" s="4">
        <v>6</v>
      </c>
      <c r="F1117" s="5">
        <v>800</v>
      </c>
      <c r="G1117" s="6">
        <v>45671</v>
      </c>
      <c r="H1117" s="5">
        <v>433.33</v>
      </c>
      <c r="I1117" s="7" t="s">
        <v>24</v>
      </c>
      <c r="J1117" s="5"/>
      <c r="K1117" s="8" t="str">
        <f>IF(AND(H1117&gt;0,J1117&gt;0),(J1117-H1117)/H1117,"")</f>
        <v/>
      </c>
      <c r="L1117" s="5"/>
      <c r="M1117" s="8" t="str">
        <f>IF(AND(J1117&gt;0,L1117&gt;0),(L1117-J1117)/J1117,IF(AND(H1117&gt;0,L1117&gt;0),(L1117-H1117)/H1117,""))</f>
        <v/>
      </c>
      <c r="N1117" s="6">
        <v>45742</v>
      </c>
      <c r="O1117" s="5">
        <v>433.33</v>
      </c>
      <c r="P1117" s="8" t="str">
        <f>IF(AND(L1117&gt;0,O1117&gt;0),(O1117-L1117)/L1117,"")</f>
        <v/>
      </c>
      <c r="Q1117" s="9">
        <v>24</v>
      </c>
      <c r="R1117" s="9">
        <v>4</v>
      </c>
      <c r="S1117" s="10">
        <f>IF(N1117&gt;0,TODAY()-N1117,"")</f>
        <v>369</v>
      </c>
    </row>
    <row r="1118" ht="17" customHeight="1" spans="1:19" x14ac:dyDescent="0.25">
      <c r="A1118" s="11" t="s">
        <v>1934</v>
      </c>
      <c r="B1118" s="11" t="s">
        <v>1935</v>
      </c>
      <c r="C1118" s="11" t="s">
        <v>2255</v>
      </c>
      <c r="D1118" s="11" t="s">
        <v>2256</v>
      </c>
      <c r="E1118" s="12">
        <v>2</v>
      </c>
      <c r="F1118" s="13">
        <v>450</v>
      </c>
      <c r="G1118" s="14">
        <v>45713</v>
      </c>
      <c r="H1118" s="13">
        <v>243.75</v>
      </c>
      <c r="I1118" s="15" t="s">
        <v>24</v>
      </c>
      <c r="J1118" s="13"/>
      <c r="K1118" s="16" t="str">
        <f>IF(AND(H1118&gt;0,J1118&gt;0),(J1118-H1118)/H1118,"")</f>
        <v/>
      </c>
      <c r="L1118" s="13"/>
      <c r="M1118" s="16" t="str">
        <f>IF(AND(J1118&gt;0,L1118&gt;0),(L1118-J1118)/J1118,IF(AND(H1118&gt;0,L1118&gt;0),(L1118-H1118)/H1118,""))</f>
        <v/>
      </c>
      <c r="N1118" s="14">
        <v>45769</v>
      </c>
      <c r="O1118" s="13">
        <v>243.74</v>
      </c>
      <c r="P1118" s="16" t="str">
        <f>IF(AND(L1118&gt;0,O1118&gt;0),(O1118-L1118)/L1118,"")</f>
        <v/>
      </c>
      <c r="Q1118" s="18">
        <v>56</v>
      </c>
      <c r="R1118" s="18">
        <v>2</v>
      </c>
      <c r="S1118" s="10">
        <f>IF(N1118&gt;0,TODAY()-N1118,"")</f>
        <v>342</v>
      </c>
    </row>
    <row r="1119" ht="17" customHeight="1" spans="1:19" x14ac:dyDescent="0.25">
      <c r="A1119" s="3" t="s">
        <v>1934</v>
      </c>
      <c r="B1119" s="3" t="s">
        <v>1935</v>
      </c>
      <c r="C1119" s="3" t="s">
        <v>2257</v>
      </c>
      <c r="D1119" s="3" t="s">
        <v>2258</v>
      </c>
      <c r="E1119" s="4">
        <v>2</v>
      </c>
      <c r="F1119" s="5">
        <v>450</v>
      </c>
      <c r="G1119" s="6">
        <v>45762</v>
      </c>
      <c r="H1119" s="5">
        <v>243.76</v>
      </c>
      <c r="I1119" s="7" t="s">
        <v>24</v>
      </c>
      <c r="J1119" s="5"/>
      <c r="K1119" s="8" t="str">
        <f>IF(AND(H1119&gt;0,J1119&gt;0),(J1119-H1119)/H1119,"")</f>
        <v/>
      </c>
      <c r="L1119" s="5"/>
      <c r="M1119" s="8" t="str">
        <f>IF(AND(J1119&gt;0,L1119&gt;0),(L1119-J1119)/J1119,IF(AND(H1119&gt;0,L1119&gt;0),(L1119-H1119)/H1119,""))</f>
        <v/>
      </c>
      <c r="N1119" s="6">
        <v>45818</v>
      </c>
      <c r="O1119" s="5">
        <v>243.76</v>
      </c>
      <c r="P1119" s="8" t="str">
        <f>IF(AND(L1119&gt;0,O1119&gt;0),(O1119-L1119)/L1119,"")</f>
        <v/>
      </c>
      <c r="Q1119" s="9">
        <v>56</v>
      </c>
      <c r="R1119" s="9">
        <v>2</v>
      </c>
      <c r="S1119" s="10">
        <f>IF(N1119&gt;0,TODAY()-N1119,"")</f>
        <v>293</v>
      </c>
    </row>
    <row r="1120" ht="17" customHeight="1" spans="1:19" x14ac:dyDescent="0.25">
      <c r="A1120" s="11" t="s">
        <v>1934</v>
      </c>
      <c r="B1120" s="11" t="s">
        <v>1935</v>
      </c>
      <c r="C1120" s="11" t="s">
        <v>2259</v>
      </c>
      <c r="D1120" s="11" t="s">
        <v>2260</v>
      </c>
      <c r="E1120" s="12">
        <v>1</v>
      </c>
      <c r="F1120" s="13">
        <v>350</v>
      </c>
      <c r="G1120" s="14">
        <v>45713</v>
      </c>
      <c r="H1120" s="13">
        <v>189.58</v>
      </c>
      <c r="I1120" s="15" t="s">
        <v>24</v>
      </c>
      <c r="J1120" s="13"/>
      <c r="K1120" s="16" t="str">
        <f>IF(AND(H1120&gt;0,J1120&gt;0),(J1120-H1120)/H1120,"")</f>
        <v/>
      </c>
      <c r="L1120" s="13"/>
      <c r="M1120" s="16" t="str">
        <f>IF(AND(J1120&gt;0,L1120&gt;0),(L1120-J1120)/J1120,IF(AND(H1120&gt;0,L1120&gt;0),(L1120-H1120)/H1120,""))</f>
        <v/>
      </c>
      <c r="N1120" s="14">
        <v>45713</v>
      </c>
      <c r="O1120" s="13">
        <v>189.58</v>
      </c>
      <c r="P1120" s="16" t="str">
        <f>IF(AND(L1120&gt;0,O1120&gt;0),(O1120-L1120)/L1120,"")</f>
        <v/>
      </c>
      <c r="Q1120" s="18"/>
      <c r="R1120" s="18">
        <v>1</v>
      </c>
      <c r="S1120" s="10">
        <f>IF(N1120&gt;0,TODAY()-N1120,"")</f>
        <v>398</v>
      </c>
    </row>
    <row r="1121" ht="17" customHeight="1" spans="1:19" x14ac:dyDescent="0.25">
      <c r="A1121" s="3" t="s">
        <v>1934</v>
      </c>
      <c r="B1121" s="3" t="s">
        <v>1935</v>
      </c>
      <c r="C1121" s="3" t="s">
        <v>2261</v>
      </c>
      <c r="D1121" s="3" t="s">
        <v>2262</v>
      </c>
      <c r="E1121" s="4">
        <v>12</v>
      </c>
      <c r="F1121" s="5">
        <v>281.25</v>
      </c>
      <c r="G1121" s="6">
        <v>45868</v>
      </c>
      <c r="H1121" s="5">
        <v>281.25</v>
      </c>
      <c r="I1121" s="7" t="s">
        <v>24</v>
      </c>
      <c r="J1121" s="5"/>
      <c r="K1121" s="8" t="str">
        <f>IF(AND(H1121&gt;0,J1121&gt;0),(J1121-H1121)/H1121,"")</f>
        <v/>
      </c>
      <c r="L1121" s="5"/>
      <c r="M1121" s="8" t="str">
        <f>IF(AND(J1121&gt;0,L1121&gt;0),(L1121-J1121)/J1121,IF(AND(H1121&gt;0,L1121&gt;0),(L1121-H1121)/H1121,""))</f>
        <v/>
      </c>
      <c r="N1121" s="6">
        <v>45868</v>
      </c>
      <c r="O1121" s="5">
        <v>281.25</v>
      </c>
      <c r="P1121" s="8" t="str">
        <f>IF(AND(L1121&gt;0,O1121&gt;0),(O1121-L1121)/L1121,"")</f>
        <v/>
      </c>
      <c r="Q1121" s="9"/>
      <c r="R1121" s="9">
        <v>1</v>
      </c>
      <c r="S1121" s="10">
        <f>IF(N1121&gt;0,TODAY()-N1121,"")</f>
        <v>243</v>
      </c>
    </row>
    <row r="1122" ht="17" customHeight="1" spans="1:19" x14ac:dyDescent="0.25">
      <c r="A1122" s="11" t="s">
        <v>1934</v>
      </c>
      <c r="B1122" s="11" t="s">
        <v>1935</v>
      </c>
      <c r="C1122" s="11" t="s">
        <v>2263</v>
      </c>
      <c r="D1122" s="11" t="s">
        <v>2264</v>
      </c>
      <c r="E1122" s="12">
        <v>12</v>
      </c>
      <c r="F1122" s="13">
        <v>300</v>
      </c>
      <c r="G1122" s="14">
        <v>45868</v>
      </c>
      <c r="H1122" s="13">
        <v>300</v>
      </c>
      <c r="I1122" s="15" t="s">
        <v>24</v>
      </c>
      <c r="J1122" s="13"/>
      <c r="K1122" s="16" t="str">
        <f>IF(AND(H1122&gt;0,J1122&gt;0),(J1122-H1122)/H1122,"")</f>
        <v/>
      </c>
      <c r="L1122" s="13"/>
      <c r="M1122" s="16" t="str">
        <f>IF(AND(J1122&gt;0,L1122&gt;0),(L1122-J1122)/J1122,IF(AND(H1122&gt;0,L1122&gt;0),(L1122-H1122)/H1122,""))</f>
        <v/>
      </c>
      <c r="N1122" s="14">
        <v>45868</v>
      </c>
      <c r="O1122" s="13">
        <v>300</v>
      </c>
      <c r="P1122" s="16" t="str">
        <f>IF(AND(L1122&gt;0,O1122&gt;0),(O1122-L1122)/L1122,"")</f>
        <v/>
      </c>
      <c r="Q1122" s="18"/>
      <c r="R1122" s="18">
        <v>1</v>
      </c>
      <c r="S1122" s="10">
        <f>IF(N1122&gt;0,TODAY()-N1122,"")</f>
        <v>243</v>
      </c>
    </row>
    <row r="1123" ht="17" customHeight="1" spans="1:19" x14ac:dyDescent="0.25">
      <c r="A1123" s="3" t="s">
        <v>1934</v>
      </c>
      <c r="B1123" s="3" t="s">
        <v>1935</v>
      </c>
      <c r="C1123" s="3" t="s">
        <v>2265</v>
      </c>
      <c r="D1123" s="3" t="s">
        <v>2266</v>
      </c>
      <c r="E1123" s="4">
        <v>9</v>
      </c>
      <c r="F1123" s="5">
        <v>218.18222222222224</v>
      </c>
      <c r="G1123" s="6">
        <v>45833</v>
      </c>
      <c r="H1123" s="5">
        <v>218.18</v>
      </c>
      <c r="I1123" s="7" t="s">
        <v>24</v>
      </c>
      <c r="J1123" s="5"/>
      <c r="K1123" s="8" t="str">
        <f>IF(AND(H1123&gt;0,J1123&gt;0),(J1123-H1123)/H1123,"")</f>
        <v/>
      </c>
      <c r="L1123" s="5"/>
      <c r="M1123" s="8" t="str">
        <f>IF(AND(J1123&gt;0,L1123&gt;0),(L1123-J1123)/J1123,IF(AND(H1123&gt;0,L1123&gt;0),(L1123-H1123)/H1123,""))</f>
        <v/>
      </c>
      <c r="N1123" s="6">
        <v>45833</v>
      </c>
      <c r="O1123" s="5">
        <v>218.18</v>
      </c>
      <c r="P1123" s="8" t="str">
        <f>IF(AND(L1123&gt;0,O1123&gt;0),(O1123-L1123)/L1123,"")</f>
        <v/>
      </c>
      <c r="Q1123" s="9"/>
      <c r="R1123" s="9">
        <v>1</v>
      </c>
      <c r="S1123" s="10">
        <f>IF(N1123&gt;0,TODAY()-N1123,"")</f>
        <v>278</v>
      </c>
    </row>
    <row r="1124" ht="17" customHeight="1" spans="1:19" x14ac:dyDescent="0.25">
      <c r="A1124" s="11" t="s">
        <v>1934</v>
      </c>
      <c r="B1124" s="11" t="s">
        <v>1935</v>
      </c>
      <c r="C1124" s="11" t="s">
        <v>2267</v>
      </c>
      <c r="D1124" s="11" t="s">
        <v>2268</v>
      </c>
      <c r="E1124" s="12">
        <v>12</v>
      </c>
      <c r="F1124" s="13">
        <v>281.25</v>
      </c>
      <c r="G1124" s="14">
        <v>45868</v>
      </c>
      <c r="H1124" s="13">
        <v>281.25</v>
      </c>
      <c r="I1124" s="15" t="s">
        <v>24</v>
      </c>
      <c r="J1124" s="13"/>
      <c r="K1124" s="16" t="str">
        <f>IF(AND(H1124&gt;0,J1124&gt;0),(J1124-H1124)/H1124,"")</f>
        <v/>
      </c>
      <c r="L1124" s="13"/>
      <c r="M1124" s="16" t="str">
        <f>IF(AND(J1124&gt;0,L1124&gt;0),(L1124-J1124)/J1124,IF(AND(H1124&gt;0,L1124&gt;0),(L1124-H1124)/H1124,""))</f>
        <v/>
      </c>
      <c r="N1124" s="14">
        <v>45868</v>
      </c>
      <c r="O1124" s="13">
        <v>281.25</v>
      </c>
      <c r="P1124" s="16" t="str">
        <f>IF(AND(L1124&gt;0,O1124&gt;0),(O1124-L1124)/L1124,"")</f>
        <v/>
      </c>
      <c r="Q1124" s="18"/>
      <c r="R1124" s="18">
        <v>1</v>
      </c>
      <c r="S1124" s="10">
        <f>IF(N1124&gt;0,TODAY()-N1124,"")</f>
        <v>243</v>
      </c>
    </row>
    <row r="1125" ht="17" customHeight="1" spans="1:19" x14ac:dyDescent="0.25">
      <c r="A1125" s="3" t="s">
        <v>1934</v>
      </c>
      <c r="B1125" s="3" t="s">
        <v>1935</v>
      </c>
      <c r="C1125" s="3" t="s">
        <v>2269</v>
      </c>
      <c r="D1125" s="3" t="s">
        <v>2270</v>
      </c>
      <c r="E1125" s="4">
        <v>12</v>
      </c>
      <c r="F1125" s="5">
        <v>281.25</v>
      </c>
      <c r="G1125" s="6">
        <v>45868</v>
      </c>
      <c r="H1125" s="5">
        <v>281.25</v>
      </c>
      <c r="I1125" s="7" t="s">
        <v>24</v>
      </c>
      <c r="J1125" s="5"/>
      <c r="K1125" s="8" t="str">
        <f>IF(AND(H1125&gt;0,J1125&gt;0),(J1125-H1125)/H1125,"")</f>
        <v/>
      </c>
      <c r="L1125" s="5"/>
      <c r="M1125" s="8" t="str">
        <f>IF(AND(J1125&gt;0,L1125&gt;0),(L1125-J1125)/J1125,IF(AND(H1125&gt;0,L1125&gt;0),(L1125-H1125)/H1125,""))</f>
        <v/>
      </c>
      <c r="N1125" s="6">
        <v>45868</v>
      </c>
      <c r="O1125" s="5">
        <v>281.25</v>
      </c>
      <c r="P1125" s="8" t="str">
        <f>IF(AND(L1125&gt;0,O1125&gt;0),(O1125-L1125)/L1125,"")</f>
        <v/>
      </c>
      <c r="Q1125" s="9"/>
      <c r="R1125" s="9">
        <v>1</v>
      </c>
      <c r="S1125" s="10">
        <f>IF(N1125&gt;0,TODAY()-N1125,"")</f>
        <v>243</v>
      </c>
    </row>
    <row r="1126" ht="17" customHeight="1" spans="1:19" x14ac:dyDescent="0.25">
      <c r="A1126" s="11" t="s">
        <v>1934</v>
      </c>
      <c r="B1126" s="11" t="s">
        <v>1935</v>
      </c>
      <c r="C1126" s="11" t="s">
        <v>2271</v>
      </c>
      <c r="D1126" s="11" t="s">
        <v>2272</v>
      </c>
      <c r="E1126" s="12">
        <v>12</v>
      </c>
      <c r="F1126" s="13">
        <v>300</v>
      </c>
      <c r="G1126" s="14">
        <v>45868</v>
      </c>
      <c r="H1126" s="13">
        <v>300</v>
      </c>
      <c r="I1126" s="15" t="s">
        <v>24</v>
      </c>
      <c r="J1126" s="13"/>
      <c r="K1126" s="16" t="str">
        <f>IF(AND(H1126&gt;0,J1126&gt;0),(J1126-H1126)/H1126,"")</f>
        <v/>
      </c>
      <c r="L1126" s="13"/>
      <c r="M1126" s="16" t="str">
        <f>IF(AND(J1126&gt;0,L1126&gt;0),(L1126-J1126)/J1126,IF(AND(H1126&gt;0,L1126&gt;0),(L1126-H1126)/H1126,""))</f>
        <v/>
      </c>
      <c r="N1126" s="14">
        <v>45868</v>
      </c>
      <c r="O1126" s="13">
        <v>300</v>
      </c>
      <c r="P1126" s="16" t="str">
        <f>IF(AND(L1126&gt;0,O1126&gt;0),(O1126-L1126)/L1126,"")</f>
        <v/>
      </c>
      <c r="Q1126" s="18"/>
      <c r="R1126" s="18">
        <v>1</v>
      </c>
      <c r="S1126" s="10">
        <f>IF(N1126&gt;0,TODAY()-N1126,"")</f>
        <v>243</v>
      </c>
    </row>
    <row r="1127" ht="17" customHeight="1" spans="1:19" x14ac:dyDescent="0.25">
      <c r="A1127" s="3" t="s">
        <v>1934</v>
      </c>
      <c r="B1127" s="3" t="s">
        <v>1935</v>
      </c>
      <c r="C1127" s="3" t="s">
        <v>2273</v>
      </c>
      <c r="D1127" s="3" t="s">
        <v>2274</v>
      </c>
      <c r="E1127" s="4">
        <v>35</v>
      </c>
      <c r="F1127" s="5">
        <v>716.4142857142857</v>
      </c>
      <c r="G1127" s="6">
        <v>45722</v>
      </c>
      <c r="H1127" s="5">
        <v>699</v>
      </c>
      <c r="I1127" s="7" t="s">
        <v>57</v>
      </c>
      <c r="J1127" s="5">
        <v>725.5</v>
      </c>
      <c r="K1127" s="24">
        <f>IF(AND(H1127&gt;0,J1127&gt;0),(J1127-H1127)/H1127,"")</f>
        <v>0.03791130185979971</v>
      </c>
      <c r="L1127" s="5"/>
      <c r="M1127" s="8" t="str">
        <f>IF(AND(J1127&gt;0,L1127&gt;0),(L1127-J1127)/J1127,IF(AND(H1127&gt;0,L1127&gt;0),(L1127-H1127)/H1127,""))</f>
        <v/>
      </c>
      <c r="N1127" s="6">
        <v>45953</v>
      </c>
      <c r="O1127" s="5">
        <v>725.5</v>
      </c>
      <c r="P1127" s="8" t="str">
        <f>IF(AND(L1127&gt;0,O1127&gt;0),(O1127-L1127)/L1127,"")</f>
        <v/>
      </c>
      <c r="Q1127" s="9">
        <v>58</v>
      </c>
      <c r="R1127" s="9">
        <v>5</v>
      </c>
      <c r="S1127" s="21">
        <f>IF(N1127&gt;0,TODAY()-N1127,"")</f>
        <v>158</v>
      </c>
    </row>
    <row r="1128" ht="17" customHeight="1" spans="1:19" x14ac:dyDescent="0.25">
      <c r="A1128" s="11" t="s">
        <v>1934</v>
      </c>
      <c r="B1128" s="11" t="s">
        <v>1935</v>
      </c>
      <c r="C1128" s="11" t="s">
        <v>2275</v>
      </c>
      <c r="D1128" s="11" t="s">
        <v>2276</v>
      </c>
      <c r="E1128" s="12">
        <v>10</v>
      </c>
      <c r="F1128" s="13">
        <v>2354.1009999999997</v>
      </c>
      <c r="G1128" s="14">
        <v>45925</v>
      </c>
      <c r="H1128" s="13">
        <v>2354.1</v>
      </c>
      <c r="I1128" s="15" t="s">
        <v>24</v>
      </c>
      <c r="J1128" s="13"/>
      <c r="K1128" s="16" t="str">
        <f>IF(AND(H1128&gt;0,J1128&gt;0),(J1128-H1128)/H1128,"")</f>
        <v/>
      </c>
      <c r="L1128" s="13"/>
      <c r="M1128" s="16" t="str">
        <f>IF(AND(J1128&gt;0,L1128&gt;0),(L1128-J1128)/J1128,IF(AND(H1128&gt;0,L1128&gt;0),(L1128-H1128)/H1128,""))</f>
        <v/>
      </c>
      <c r="N1128" s="14">
        <v>45925</v>
      </c>
      <c r="O1128" s="13">
        <v>2354.1</v>
      </c>
      <c r="P1128" s="16" t="str">
        <f>IF(AND(L1128&gt;0,O1128&gt;0),(O1128-L1128)/L1128,"")</f>
        <v/>
      </c>
      <c r="Q1128" s="18"/>
      <c r="R1128" s="18">
        <v>1</v>
      </c>
      <c r="S1128" s="10">
        <f>IF(N1128&gt;0,TODAY()-N1128,"")</f>
        <v>186</v>
      </c>
    </row>
    <row r="1129" ht="17" customHeight="1" spans="1:19" x14ac:dyDescent="0.25">
      <c r="A1129" s="3" t="s">
        <v>1934</v>
      </c>
      <c r="B1129" s="3" t="s">
        <v>1935</v>
      </c>
      <c r="C1129" s="3" t="s">
        <v>2277</v>
      </c>
      <c r="D1129" s="3" t="s">
        <v>2278</v>
      </c>
      <c r="E1129" s="4">
        <v>10</v>
      </c>
      <c r="F1129" s="5">
        <v>2751.278</v>
      </c>
      <c r="G1129" s="6">
        <v>45925</v>
      </c>
      <c r="H1129" s="5">
        <v>2751.28</v>
      </c>
      <c r="I1129" s="7" t="s">
        <v>24</v>
      </c>
      <c r="J1129" s="5"/>
      <c r="K1129" s="8" t="str">
        <f>IF(AND(H1129&gt;0,J1129&gt;0),(J1129-H1129)/H1129,"")</f>
        <v/>
      </c>
      <c r="L1129" s="5"/>
      <c r="M1129" s="8" t="str">
        <f>IF(AND(J1129&gt;0,L1129&gt;0),(L1129-J1129)/J1129,IF(AND(H1129&gt;0,L1129&gt;0),(L1129-H1129)/H1129,""))</f>
        <v/>
      </c>
      <c r="N1129" s="6">
        <v>45925</v>
      </c>
      <c r="O1129" s="5">
        <v>2751.28</v>
      </c>
      <c r="P1129" s="8" t="str">
        <f>IF(AND(L1129&gt;0,O1129&gt;0),(O1129-L1129)/L1129,"")</f>
        <v/>
      </c>
      <c r="Q1129" s="9"/>
      <c r="R1129" s="9">
        <v>1</v>
      </c>
      <c r="S1129" s="10">
        <f>IF(N1129&gt;0,TODAY()-N1129,"")</f>
        <v>186</v>
      </c>
    </row>
    <row r="1130" ht="17" customHeight="1" spans="1:19" x14ac:dyDescent="0.25">
      <c r="A1130" s="11" t="s">
        <v>1934</v>
      </c>
      <c r="B1130" s="11" t="s">
        <v>1935</v>
      </c>
      <c r="C1130" s="11" t="s">
        <v>2279</v>
      </c>
      <c r="D1130" s="11" t="s">
        <v>2280</v>
      </c>
      <c r="E1130" s="12">
        <v>10</v>
      </c>
      <c r="F1130" s="13">
        <v>2110.0029999999997</v>
      </c>
      <c r="G1130" s="14">
        <v>45925</v>
      </c>
      <c r="H1130" s="13">
        <v>2110</v>
      </c>
      <c r="I1130" s="15" t="s">
        <v>24</v>
      </c>
      <c r="J1130" s="13"/>
      <c r="K1130" s="16" t="str">
        <f>IF(AND(H1130&gt;0,J1130&gt;0),(J1130-H1130)/H1130,"")</f>
        <v/>
      </c>
      <c r="L1130" s="13"/>
      <c r="M1130" s="16" t="str">
        <f>IF(AND(J1130&gt;0,L1130&gt;0),(L1130-J1130)/J1130,IF(AND(H1130&gt;0,L1130&gt;0),(L1130-H1130)/H1130,""))</f>
        <v/>
      </c>
      <c r="N1130" s="14">
        <v>45925</v>
      </c>
      <c r="O1130" s="13">
        <v>2110</v>
      </c>
      <c r="P1130" s="16" t="str">
        <f>IF(AND(L1130&gt;0,O1130&gt;0),(O1130-L1130)/L1130,"")</f>
        <v/>
      </c>
      <c r="Q1130" s="18"/>
      <c r="R1130" s="18">
        <v>1</v>
      </c>
      <c r="S1130" s="10">
        <f>IF(N1130&gt;0,TODAY()-N1130,"")</f>
        <v>186</v>
      </c>
    </row>
    <row r="1131" ht="17" customHeight="1" spans="1:19" x14ac:dyDescent="0.25">
      <c r="A1131" s="3" t="s">
        <v>1934</v>
      </c>
      <c r="B1131" s="3" t="s">
        <v>1935</v>
      </c>
      <c r="C1131" s="3" t="s">
        <v>2281</v>
      </c>
      <c r="D1131" s="3" t="s">
        <v>2282</v>
      </c>
      <c r="E1131" s="4">
        <v>4</v>
      </c>
      <c r="F1131" s="5">
        <v>2675</v>
      </c>
      <c r="G1131" s="6">
        <v>45772</v>
      </c>
      <c r="H1131" s="5">
        <v>1477.28</v>
      </c>
      <c r="I1131" s="7" t="s">
        <v>24</v>
      </c>
      <c r="J1131" s="5"/>
      <c r="K1131" s="8" t="str">
        <f>IF(AND(H1131&gt;0,J1131&gt;0),(J1131-H1131)/H1131,"")</f>
        <v/>
      </c>
      <c r="L1131" s="5"/>
      <c r="M1131" s="8" t="str">
        <f>IF(AND(J1131&gt;0,L1131&gt;0),(L1131-J1131)/J1131,IF(AND(H1131&gt;0,L1131&gt;0),(L1131-H1131)/H1131,""))</f>
        <v/>
      </c>
      <c r="N1131" s="6">
        <v>45845</v>
      </c>
      <c r="O1131" s="5">
        <v>1733.33</v>
      </c>
      <c r="P1131" s="8" t="str">
        <f>IF(AND(L1131&gt;0,O1131&gt;0),(O1131-L1131)/L1131,"")</f>
        <v/>
      </c>
      <c r="Q1131" s="9">
        <v>37</v>
      </c>
      <c r="R1131" s="9">
        <v>3</v>
      </c>
      <c r="S1131" s="10">
        <f>IF(N1131&gt;0,TODAY()-N1131,"")</f>
        <v>266</v>
      </c>
    </row>
    <row r="1132" ht="17" customHeight="1" spans="1:19" x14ac:dyDescent="0.25">
      <c r="A1132" s="11" t="s">
        <v>1934</v>
      </c>
      <c r="B1132" s="11" t="s">
        <v>1935</v>
      </c>
      <c r="C1132" s="11" t="s">
        <v>2283</v>
      </c>
      <c r="D1132" s="11" t="s">
        <v>2284</v>
      </c>
      <c r="E1132" s="12">
        <v>1</v>
      </c>
      <c r="F1132" s="13">
        <v>668</v>
      </c>
      <c r="G1132" s="14">
        <v>45684</v>
      </c>
      <c r="H1132" s="13">
        <v>668</v>
      </c>
      <c r="I1132" s="15" t="s">
        <v>24</v>
      </c>
      <c r="J1132" s="13"/>
      <c r="K1132" s="16" t="str">
        <f>IF(AND(H1132&gt;0,J1132&gt;0),(J1132-H1132)/H1132,"")</f>
        <v/>
      </c>
      <c r="L1132" s="13"/>
      <c r="M1132" s="16" t="str">
        <f>IF(AND(J1132&gt;0,L1132&gt;0),(L1132-J1132)/J1132,IF(AND(H1132&gt;0,L1132&gt;0),(L1132-H1132)/H1132,""))</f>
        <v/>
      </c>
      <c r="N1132" s="14">
        <v>45684</v>
      </c>
      <c r="O1132" s="13">
        <v>668</v>
      </c>
      <c r="P1132" s="16" t="str">
        <f>IF(AND(L1132&gt;0,O1132&gt;0),(O1132-L1132)/L1132,"")</f>
        <v/>
      </c>
      <c r="Q1132" s="18"/>
      <c r="R1132" s="18">
        <v>1</v>
      </c>
      <c r="S1132" s="10">
        <f>IF(N1132&gt;0,TODAY()-N1132,"")</f>
        <v>427</v>
      </c>
    </row>
    <row r="1133" ht="17" customHeight="1" spans="1:19" x14ac:dyDescent="0.25">
      <c r="A1133" s="3" t="s">
        <v>1934</v>
      </c>
      <c r="B1133" s="3" t="s">
        <v>1935</v>
      </c>
      <c r="C1133" s="3" t="s">
        <v>2285</v>
      </c>
      <c r="D1133" s="3" t="s">
        <v>2286</v>
      </c>
      <c r="E1133" s="4">
        <v>1</v>
      </c>
      <c r="F1133" s="5">
        <v>744.5</v>
      </c>
      <c r="G1133" s="6">
        <v>45684</v>
      </c>
      <c r="H1133" s="5">
        <v>744.5</v>
      </c>
      <c r="I1133" s="7" t="s">
        <v>24</v>
      </c>
      <c r="J1133" s="5"/>
      <c r="K1133" s="8" t="str">
        <f>IF(AND(H1133&gt;0,J1133&gt;0),(J1133-H1133)/H1133,"")</f>
        <v/>
      </c>
      <c r="L1133" s="5"/>
      <c r="M1133" s="8" t="str">
        <f>IF(AND(J1133&gt;0,L1133&gt;0),(L1133-J1133)/J1133,IF(AND(H1133&gt;0,L1133&gt;0),(L1133-H1133)/H1133,""))</f>
        <v/>
      </c>
      <c r="N1133" s="6">
        <v>45684</v>
      </c>
      <c r="O1133" s="5">
        <v>744.5</v>
      </c>
      <c r="P1133" s="8" t="str">
        <f>IF(AND(L1133&gt;0,O1133&gt;0),(O1133-L1133)/L1133,"")</f>
        <v/>
      </c>
      <c r="Q1133" s="9"/>
      <c r="R1133" s="9">
        <v>1</v>
      </c>
      <c r="S1133" s="10">
        <f>IF(N1133&gt;0,TODAY()-N1133,"")</f>
        <v>427</v>
      </c>
    </row>
    <row r="1134" ht="17" customHeight="1" spans="1:19" x14ac:dyDescent="0.25">
      <c r="A1134" s="11" t="s">
        <v>1934</v>
      </c>
      <c r="B1134" s="11" t="s">
        <v>1935</v>
      </c>
      <c r="C1134" s="11" t="s">
        <v>2287</v>
      </c>
      <c r="D1134" s="11" t="s">
        <v>2288</v>
      </c>
      <c r="E1134" s="12">
        <v>1</v>
      </c>
      <c r="F1134" s="13">
        <v>252.5</v>
      </c>
      <c r="G1134" s="14">
        <v>45684</v>
      </c>
      <c r="H1134" s="13">
        <v>252.5</v>
      </c>
      <c r="I1134" s="15" t="s">
        <v>24</v>
      </c>
      <c r="J1134" s="13"/>
      <c r="K1134" s="16" t="str">
        <f>IF(AND(H1134&gt;0,J1134&gt;0),(J1134-H1134)/H1134,"")</f>
        <v/>
      </c>
      <c r="L1134" s="13"/>
      <c r="M1134" s="16" t="str">
        <f>IF(AND(J1134&gt;0,L1134&gt;0),(L1134-J1134)/J1134,IF(AND(H1134&gt;0,L1134&gt;0),(L1134-H1134)/H1134,""))</f>
        <v/>
      </c>
      <c r="N1134" s="14">
        <v>45684</v>
      </c>
      <c r="O1134" s="13">
        <v>252.5</v>
      </c>
      <c r="P1134" s="16" t="str">
        <f>IF(AND(L1134&gt;0,O1134&gt;0),(O1134-L1134)/L1134,"")</f>
        <v/>
      </c>
      <c r="Q1134" s="18"/>
      <c r="R1134" s="18">
        <v>1</v>
      </c>
      <c r="S1134" s="10">
        <f>IF(N1134&gt;0,TODAY()-N1134,"")</f>
        <v>427</v>
      </c>
    </row>
    <row r="1135" ht="17" customHeight="1" spans="1:19" x14ac:dyDescent="0.25">
      <c r="A1135" s="3" t="s">
        <v>1934</v>
      </c>
      <c r="B1135" s="3" t="s">
        <v>1935</v>
      </c>
      <c r="C1135" s="3" t="s">
        <v>2289</v>
      </c>
      <c r="D1135" s="3" t="s">
        <v>2290</v>
      </c>
      <c r="E1135" s="4">
        <v>26</v>
      </c>
      <c r="F1135" s="5">
        <v>190.73076923076923</v>
      </c>
      <c r="G1135" s="6">
        <v>45677</v>
      </c>
      <c r="H1135" s="5">
        <v>190</v>
      </c>
      <c r="I1135" s="7" t="s">
        <v>24</v>
      </c>
      <c r="J1135" s="5"/>
      <c r="K1135" s="8" t="str">
        <f>IF(AND(H1135&gt;0,J1135&gt;0),(J1135-H1135)/H1135,"")</f>
        <v/>
      </c>
      <c r="L1135" s="5"/>
      <c r="M1135" s="8" t="str">
        <f>IF(AND(J1135&gt;0,L1135&gt;0),(L1135-J1135)/J1135,IF(AND(H1135&gt;0,L1135&gt;0),(L1135-H1135)/H1135,""))</f>
        <v/>
      </c>
      <c r="N1135" s="6">
        <v>45919</v>
      </c>
      <c r="O1135" s="5">
        <v>199.5</v>
      </c>
      <c r="P1135" s="8" t="str">
        <f>IF(AND(L1135&gt;0,O1135&gt;0),(O1135-L1135)/L1135,"")</f>
        <v/>
      </c>
      <c r="Q1135" s="9">
        <v>81</v>
      </c>
      <c r="R1135" s="9">
        <v>4</v>
      </c>
      <c r="S1135" s="10">
        <f>IF(N1135&gt;0,TODAY()-N1135,"")</f>
        <v>192</v>
      </c>
    </row>
    <row r="1136" ht="17" customHeight="1" spans="1:19" x14ac:dyDescent="0.25">
      <c r="A1136" s="11" t="s">
        <v>1934</v>
      </c>
      <c r="B1136" s="11" t="s">
        <v>1935</v>
      </c>
      <c r="C1136" s="11" t="s">
        <v>2291</v>
      </c>
      <c r="D1136" s="11" t="s">
        <v>2292</v>
      </c>
      <c r="E1136" s="12">
        <v>1</v>
      </c>
      <c r="F1136" s="13">
        <v>535.5</v>
      </c>
      <c r="G1136" s="14">
        <v>45924</v>
      </c>
      <c r="H1136" s="13">
        <v>535.5</v>
      </c>
      <c r="I1136" s="15" t="s">
        <v>24</v>
      </c>
      <c r="J1136" s="13"/>
      <c r="K1136" s="16" t="str">
        <f>IF(AND(H1136&gt;0,J1136&gt;0),(J1136-H1136)/H1136,"")</f>
        <v/>
      </c>
      <c r="L1136" s="13"/>
      <c r="M1136" s="16" t="str">
        <f>IF(AND(J1136&gt;0,L1136&gt;0),(L1136-J1136)/J1136,IF(AND(H1136&gt;0,L1136&gt;0),(L1136-H1136)/H1136,""))</f>
        <v/>
      </c>
      <c r="N1136" s="14">
        <v>45924</v>
      </c>
      <c r="O1136" s="13">
        <v>535.5</v>
      </c>
      <c r="P1136" s="16" t="str">
        <f>IF(AND(L1136&gt;0,O1136&gt;0),(O1136-L1136)/L1136,"")</f>
        <v/>
      </c>
      <c r="Q1136" s="18"/>
      <c r="R1136" s="18">
        <v>1</v>
      </c>
      <c r="S1136" s="10">
        <f>IF(N1136&gt;0,TODAY()-N1136,"")</f>
        <v>187</v>
      </c>
    </row>
    <row r="1137" ht="17" customHeight="1" spans="1:19" x14ac:dyDescent="0.25">
      <c r="A1137" s="3" t="s">
        <v>1934</v>
      </c>
      <c r="B1137" s="3" t="s">
        <v>1935</v>
      </c>
      <c r="C1137" s="3" t="s">
        <v>2293</v>
      </c>
      <c r="D1137" s="3" t="s">
        <v>2294</v>
      </c>
      <c r="E1137" s="4">
        <v>13</v>
      </c>
      <c r="F1137" s="5">
        <v>397.84615384615387</v>
      </c>
      <c r="G1137" s="6">
        <v>45684</v>
      </c>
      <c r="H1137" s="5">
        <v>381</v>
      </c>
      <c r="I1137" s="7" t="s">
        <v>57</v>
      </c>
      <c r="J1137" s="5">
        <v>417.5</v>
      </c>
      <c r="K1137" s="24">
        <f>IF(AND(H1137&gt;0,J1137&gt;0),(J1137-H1137)/H1137,"")</f>
        <v>0.09580052493438322</v>
      </c>
      <c r="L1137" s="5"/>
      <c r="M1137" s="8" t="str">
        <f>IF(AND(J1137&gt;0,L1137&gt;0),(L1137-J1137)/J1137,IF(AND(H1137&gt;0,L1137&gt;0),(L1137-H1137)/H1137,""))</f>
        <v/>
      </c>
      <c r="N1137" s="6">
        <v>45953</v>
      </c>
      <c r="O1137" s="5">
        <v>417.5</v>
      </c>
      <c r="P1137" s="8" t="str">
        <f>IF(AND(L1137&gt;0,O1137&gt;0),(O1137-L1137)/L1137,"")</f>
        <v/>
      </c>
      <c r="Q1137" s="9">
        <v>67</v>
      </c>
      <c r="R1137" s="9">
        <v>5</v>
      </c>
      <c r="S1137" s="21">
        <f>IF(N1137&gt;0,TODAY()-N1137,"")</f>
        <v>158</v>
      </c>
    </row>
    <row r="1138" ht="17" customHeight="1" spans="1:19" x14ac:dyDescent="0.25">
      <c r="A1138" s="11" t="s">
        <v>1934</v>
      </c>
      <c r="B1138" s="11" t="s">
        <v>1935</v>
      </c>
      <c r="C1138" s="11" t="s">
        <v>2295</v>
      </c>
      <c r="D1138" s="11" t="s">
        <v>2296</v>
      </c>
      <c r="E1138" s="12">
        <v>8</v>
      </c>
      <c r="F1138" s="13">
        <v>1090.36</v>
      </c>
      <c r="G1138" s="14">
        <v>45845</v>
      </c>
      <c r="H1138" s="13">
        <v>1090.36</v>
      </c>
      <c r="I1138" s="15" t="s">
        <v>24</v>
      </c>
      <c r="J1138" s="13"/>
      <c r="K1138" s="16" t="str">
        <f>IF(AND(H1138&gt;0,J1138&gt;0),(J1138-H1138)/H1138,"")</f>
        <v/>
      </c>
      <c r="L1138" s="13"/>
      <c r="M1138" s="16" t="str">
        <f>IF(AND(J1138&gt;0,L1138&gt;0),(L1138-J1138)/J1138,IF(AND(H1138&gt;0,L1138&gt;0),(L1138-H1138)/H1138,""))</f>
        <v/>
      </c>
      <c r="N1138" s="14">
        <v>45845</v>
      </c>
      <c r="O1138" s="13">
        <v>1090.36</v>
      </c>
      <c r="P1138" s="16" t="str">
        <f>IF(AND(L1138&gt;0,O1138&gt;0),(O1138-L1138)/L1138,"")</f>
        <v/>
      </c>
      <c r="Q1138" s="18"/>
      <c r="R1138" s="18">
        <v>1</v>
      </c>
      <c r="S1138" s="10">
        <f>IF(N1138&gt;0,TODAY()-N1138,"")</f>
        <v>266</v>
      </c>
    </row>
    <row r="1139" ht="17" customHeight="1" spans="1:19" x14ac:dyDescent="0.25">
      <c r="A1139" s="3" t="s">
        <v>1934</v>
      </c>
      <c r="B1139" s="3" t="s">
        <v>1935</v>
      </c>
      <c r="C1139" s="3" t="s">
        <v>2297</v>
      </c>
      <c r="D1139" s="3" t="s">
        <v>2298</v>
      </c>
      <c r="E1139" s="4">
        <v>15</v>
      </c>
      <c r="F1139" s="5">
        <v>1159.09</v>
      </c>
      <c r="G1139" s="6">
        <v>45797</v>
      </c>
      <c r="H1139" s="5">
        <v>1159.09</v>
      </c>
      <c r="I1139" s="7" t="s">
        <v>24</v>
      </c>
      <c r="J1139" s="5"/>
      <c r="K1139" s="8" t="str">
        <f>IF(AND(H1139&gt;0,J1139&gt;0),(J1139-H1139)/H1139,"")</f>
        <v/>
      </c>
      <c r="L1139" s="5"/>
      <c r="M1139" s="8" t="str">
        <f>IF(AND(J1139&gt;0,L1139&gt;0),(L1139-J1139)/J1139,IF(AND(H1139&gt;0,L1139&gt;0),(L1139-H1139)/H1139,""))</f>
        <v/>
      </c>
      <c r="N1139" s="6">
        <v>45797</v>
      </c>
      <c r="O1139" s="5">
        <v>1159.09</v>
      </c>
      <c r="P1139" s="8" t="str">
        <f>IF(AND(L1139&gt;0,O1139&gt;0),(O1139-L1139)/L1139,"")</f>
        <v/>
      </c>
      <c r="Q1139" s="9"/>
      <c r="R1139" s="9">
        <v>1</v>
      </c>
      <c r="S1139" s="10">
        <f>IF(N1139&gt;0,TODAY()-N1139,"")</f>
        <v>314</v>
      </c>
    </row>
    <row r="1140" ht="17" customHeight="1" spans="1:19" x14ac:dyDescent="0.25">
      <c r="A1140" s="11" t="s">
        <v>1934</v>
      </c>
      <c r="B1140" s="11" t="s">
        <v>1935</v>
      </c>
      <c r="C1140" s="11" t="s">
        <v>2299</v>
      </c>
      <c r="D1140" s="11" t="s">
        <v>2300</v>
      </c>
      <c r="E1140" s="12">
        <v>8</v>
      </c>
      <c r="F1140" s="13">
        <v>2354.18</v>
      </c>
      <c r="G1140" s="14">
        <v>45722</v>
      </c>
      <c r="H1140" s="13">
        <v>2270.18</v>
      </c>
      <c r="I1140" s="15" t="s">
        <v>24</v>
      </c>
      <c r="J1140" s="13"/>
      <c r="K1140" s="16" t="str">
        <f>IF(AND(H1140&gt;0,J1140&gt;0),(J1140-H1140)/H1140,"")</f>
        <v/>
      </c>
      <c r="L1140" s="13"/>
      <c r="M1140" s="16" t="str">
        <f>IF(AND(J1140&gt;0,L1140&gt;0),(L1140-J1140)/J1140,IF(AND(H1140&gt;0,L1140&gt;0),(L1140-H1140)/H1140,""))</f>
        <v/>
      </c>
      <c r="N1140" s="14">
        <v>45854</v>
      </c>
      <c r="O1140" s="13">
        <v>2438.18</v>
      </c>
      <c r="P1140" s="16" t="str">
        <f>IF(AND(L1140&gt;0,O1140&gt;0),(O1140-L1140)/L1140,"")</f>
        <v/>
      </c>
      <c r="Q1140" s="18">
        <v>132</v>
      </c>
      <c r="R1140" s="18">
        <v>2</v>
      </c>
      <c r="S1140" s="10">
        <f>IF(N1140&gt;0,TODAY()-N1140,"")</f>
        <v>257</v>
      </c>
    </row>
    <row r="1141" ht="17" customHeight="1" spans="1:19" x14ac:dyDescent="0.25">
      <c r="A1141" s="3" t="s">
        <v>1934</v>
      </c>
      <c r="B1141" s="3" t="s">
        <v>1935</v>
      </c>
      <c r="C1141" s="3" t="s">
        <v>2301</v>
      </c>
      <c r="D1141" s="3" t="s">
        <v>2302</v>
      </c>
      <c r="E1141" s="4">
        <v>12</v>
      </c>
      <c r="F1141" s="5">
        <v>335.5</v>
      </c>
      <c r="G1141" s="6">
        <v>45722</v>
      </c>
      <c r="H1141" s="5">
        <v>335.5</v>
      </c>
      <c r="I1141" s="7" t="s">
        <v>57</v>
      </c>
      <c r="J1141" s="5">
        <v>335.5</v>
      </c>
      <c r="K1141" s="24">
        <f>IF(AND(H1141&gt;0,J1141&gt;0),(J1141-H1141)/H1141,"")</f>
        <v>0</v>
      </c>
      <c r="L1141" s="5"/>
      <c r="M1141" s="8" t="str">
        <f>IF(AND(J1141&gt;0,L1141&gt;0),(L1141-J1141)/J1141,IF(AND(H1141&gt;0,L1141&gt;0),(L1141-H1141)/H1141,""))</f>
        <v/>
      </c>
      <c r="N1141" s="6">
        <v>45953</v>
      </c>
      <c r="O1141" s="5">
        <v>335.5</v>
      </c>
      <c r="P1141" s="8" t="str">
        <f>IF(AND(L1141&gt;0,O1141&gt;0),(O1141-L1141)/L1141,"")</f>
        <v/>
      </c>
      <c r="Q1141" s="9">
        <v>77</v>
      </c>
      <c r="R1141" s="9">
        <v>4</v>
      </c>
      <c r="S1141" s="21">
        <f>IF(N1141&gt;0,TODAY()-N1141,"")</f>
        <v>158</v>
      </c>
    </row>
    <row r="1142" ht="17" customHeight="1" spans="1:19" x14ac:dyDescent="0.25">
      <c r="A1142" s="11" t="s">
        <v>1934</v>
      </c>
      <c r="B1142" s="11" t="s">
        <v>1935</v>
      </c>
      <c r="C1142" s="11" t="s">
        <v>2303</v>
      </c>
      <c r="D1142" s="11" t="s">
        <v>2304</v>
      </c>
      <c r="E1142" s="12">
        <v>7</v>
      </c>
      <c r="F1142" s="13">
        <v>4517.5</v>
      </c>
      <c r="G1142" s="14">
        <v>45716</v>
      </c>
      <c r="H1142" s="13">
        <v>4517.5</v>
      </c>
      <c r="I1142" s="15" t="s">
        <v>24</v>
      </c>
      <c r="J1142" s="13"/>
      <c r="K1142" s="16" t="str">
        <f>IF(AND(H1142&gt;0,J1142&gt;0),(J1142-H1142)/H1142,"")</f>
        <v/>
      </c>
      <c r="L1142" s="13"/>
      <c r="M1142" s="16" t="str">
        <f>IF(AND(J1142&gt;0,L1142&gt;0),(L1142-J1142)/J1142,IF(AND(H1142&gt;0,L1142&gt;0),(L1142-H1142)/H1142,""))</f>
        <v/>
      </c>
      <c r="N1142" s="14">
        <v>45826</v>
      </c>
      <c r="O1142" s="13">
        <v>4517.5</v>
      </c>
      <c r="P1142" s="16" t="str">
        <f>IF(AND(L1142&gt;0,O1142&gt;0),(O1142-L1142)/L1142,"")</f>
        <v/>
      </c>
      <c r="Q1142" s="18">
        <v>55</v>
      </c>
      <c r="R1142" s="18">
        <v>3</v>
      </c>
      <c r="S1142" s="10">
        <f>IF(N1142&gt;0,TODAY()-N1142,"")</f>
        <v>285</v>
      </c>
    </row>
    <row r="1143" ht="17" customHeight="1" spans="1:19" x14ac:dyDescent="0.25">
      <c r="A1143" s="3" t="s">
        <v>1934</v>
      </c>
      <c r="B1143" s="3" t="s">
        <v>1935</v>
      </c>
      <c r="C1143" s="3" t="s">
        <v>2305</v>
      </c>
      <c r="D1143" s="3" t="s">
        <v>2306</v>
      </c>
      <c r="E1143" s="4">
        <v>25</v>
      </c>
      <c r="F1143" s="5">
        <v>799</v>
      </c>
      <c r="G1143" s="6">
        <v>45687</v>
      </c>
      <c r="H1143" s="5">
        <v>799</v>
      </c>
      <c r="I1143" s="7" t="s">
        <v>24</v>
      </c>
      <c r="J1143" s="5"/>
      <c r="K1143" s="8" t="str">
        <f>IF(AND(H1143&gt;0,J1143&gt;0),(J1143-H1143)/H1143,"")</f>
        <v/>
      </c>
      <c r="L1143" s="5"/>
      <c r="M1143" s="8" t="str">
        <f>IF(AND(J1143&gt;0,L1143&gt;0),(L1143-J1143)/J1143,IF(AND(H1143&gt;0,L1143&gt;0),(L1143-H1143)/H1143,""))</f>
        <v/>
      </c>
      <c r="N1143" s="6">
        <v>45818</v>
      </c>
      <c r="O1143" s="5">
        <v>799</v>
      </c>
      <c r="P1143" s="8" t="str">
        <f>IF(AND(L1143&gt;0,O1143&gt;0),(O1143-L1143)/L1143,"")</f>
        <v/>
      </c>
      <c r="Q1143" s="9">
        <v>131</v>
      </c>
      <c r="R1143" s="9">
        <v>2</v>
      </c>
      <c r="S1143" s="10">
        <f>IF(N1143&gt;0,TODAY()-N1143,"")</f>
        <v>293</v>
      </c>
    </row>
    <row r="1144" ht="17" customHeight="1" spans="1:19" x14ac:dyDescent="0.25">
      <c r="A1144" s="11" t="s">
        <v>1934</v>
      </c>
      <c r="B1144" s="11" t="s">
        <v>1935</v>
      </c>
      <c r="C1144" s="11" t="s">
        <v>2307</v>
      </c>
      <c r="D1144" s="11" t="s">
        <v>2308</v>
      </c>
      <c r="E1144" s="12">
        <v>24</v>
      </c>
      <c r="F1144" s="13">
        <v>333.25</v>
      </c>
      <c r="G1144" s="14">
        <v>45790</v>
      </c>
      <c r="H1144" s="13">
        <v>298</v>
      </c>
      <c r="I1144" s="15" t="s">
        <v>57</v>
      </c>
      <c r="J1144" s="13">
        <v>345</v>
      </c>
      <c r="K1144" s="20">
        <f>IF(AND(H1144&gt;0,J1144&gt;0),(J1144-H1144)/H1144,"")</f>
        <v>0.15771812080536912</v>
      </c>
      <c r="L1144" s="13"/>
      <c r="M1144" s="16" t="str">
        <f>IF(AND(J1144&gt;0,L1144&gt;0),(L1144-J1144)/J1144,IF(AND(H1144&gt;0,L1144&gt;0),(L1144-H1144)/H1144,""))</f>
        <v/>
      </c>
      <c r="N1144" s="14">
        <v>45938</v>
      </c>
      <c r="O1144" s="13">
        <v>345</v>
      </c>
      <c r="P1144" s="16" t="str">
        <f>IF(AND(L1144&gt;0,O1144&gt;0),(O1144-L1144)/L1144,"")</f>
        <v/>
      </c>
      <c r="Q1144" s="18">
        <v>74</v>
      </c>
      <c r="R1144" s="18">
        <v>3</v>
      </c>
      <c r="S1144" s="21">
        <f>IF(N1144&gt;0,TODAY()-N1144,"")</f>
        <v>173</v>
      </c>
    </row>
    <row r="1145" ht="17" customHeight="1" spans="1:19" x14ac:dyDescent="0.25">
      <c r="A1145" s="3" t="s">
        <v>1934</v>
      </c>
      <c r="B1145" s="3" t="s">
        <v>1935</v>
      </c>
      <c r="C1145" s="3" t="s">
        <v>2309</v>
      </c>
      <c r="D1145" s="3" t="s">
        <v>2310</v>
      </c>
      <c r="E1145" s="4">
        <v>12</v>
      </c>
      <c r="F1145" s="5">
        <v>1326.5</v>
      </c>
      <c r="G1145" s="6">
        <v>45919</v>
      </c>
      <c r="H1145" s="5">
        <v>1326.5</v>
      </c>
      <c r="I1145" s="7" t="s">
        <v>24</v>
      </c>
      <c r="J1145" s="5"/>
      <c r="K1145" s="8" t="str">
        <f>IF(AND(H1145&gt;0,J1145&gt;0),(J1145-H1145)/H1145,"")</f>
        <v/>
      </c>
      <c r="L1145" s="5"/>
      <c r="M1145" s="8" t="str">
        <f>IF(AND(J1145&gt;0,L1145&gt;0),(L1145-J1145)/J1145,IF(AND(H1145&gt;0,L1145&gt;0),(L1145-H1145)/H1145,""))</f>
        <v/>
      </c>
      <c r="N1145" s="6">
        <v>45919</v>
      </c>
      <c r="O1145" s="5">
        <v>1326.5</v>
      </c>
      <c r="P1145" s="8" t="str">
        <f>IF(AND(L1145&gt;0,O1145&gt;0),(O1145-L1145)/L1145,"")</f>
        <v/>
      </c>
      <c r="Q1145" s="9"/>
      <c r="R1145" s="9">
        <v>1</v>
      </c>
      <c r="S1145" s="10">
        <f>IF(N1145&gt;0,TODAY()-N1145,"")</f>
        <v>192</v>
      </c>
    </row>
    <row r="1146" ht="17" customHeight="1" spans="1:19" x14ac:dyDescent="0.25">
      <c r="A1146" s="11" t="s">
        <v>1934</v>
      </c>
      <c r="B1146" s="11" t="s">
        <v>1935</v>
      </c>
      <c r="C1146" s="11" t="s">
        <v>2311</v>
      </c>
      <c r="D1146" s="11" t="s">
        <v>2312</v>
      </c>
      <c r="E1146" s="12">
        <v>151</v>
      </c>
      <c r="F1146" s="13">
        <v>82.82119205298014</v>
      </c>
      <c r="G1146" s="14">
        <v>45684</v>
      </c>
      <c r="H1146" s="13">
        <v>81</v>
      </c>
      <c r="I1146" s="15" t="s">
        <v>57</v>
      </c>
      <c r="J1146" s="13">
        <v>86.5</v>
      </c>
      <c r="K1146" s="17">
        <f>IF(AND(H1146&gt;0,J1146&gt;0),(J1146-H1146)/H1146,"")</f>
        <v>0.06790123456790123</v>
      </c>
      <c r="L1146" s="13"/>
      <c r="M1146" s="16" t="str">
        <f>IF(AND(J1146&gt;0,L1146&gt;0),(L1146-J1146)/J1146,IF(AND(H1146&gt;0,L1146&gt;0),(L1146-H1146)/H1146,""))</f>
        <v/>
      </c>
      <c r="N1146" s="14">
        <v>45938</v>
      </c>
      <c r="O1146" s="13">
        <v>86.5</v>
      </c>
      <c r="P1146" s="16" t="str">
        <f>IF(AND(L1146&gt;0,O1146&gt;0),(O1146-L1146)/L1146,"")</f>
        <v/>
      </c>
      <c r="Q1146" s="18">
        <v>85</v>
      </c>
      <c r="R1146" s="18">
        <v>4</v>
      </c>
      <c r="S1146" s="21">
        <f>IF(N1146&gt;0,TODAY()-N1146,"")</f>
        <v>173</v>
      </c>
    </row>
    <row r="1147" ht="17" customHeight="1" spans="1:19" x14ac:dyDescent="0.25">
      <c r="A1147" s="3" t="s">
        <v>1934</v>
      </c>
      <c r="B1147" s="3" t="s">
        <v>1935</v>
      </c>
      <c r="C1147" s="3" t="s">
        <v>2313</v>
      </c>
      <c r="D1147" s="3" t="s">
        <v>2314</v>
      </c>
      <c r="E1147" s="4">
        <v>6</v>
      </c>
      <c r="F1147" s="5">
        <v>194.5</v>
      </c>
      <c r="G1147" s="6">
        <v>45722</v>
      </c>
      <c r="H1147" s="5">
        <v>194.5</v>
      </c>
      <c r="I1147" s="7" t="s">
        <v>24</v>
      </c>
      <c r="J1147" s="5"/>
      <c r="K1147" s="8" t="str">
        <f>IF(AND(H1147&gt;0,J1147&gt;0),(J1147-H1147)/H1147,"")</f>
        <v/>
      </c>
      <c r="L1147" s="5"/>
      <c r="M1147" s="8" t="str">
        <f>IF(AND(J1147&gt;0,L1147&gt;0),(L1147-J1147)/J1147,IF(AND(H1147&gt;0,L1147&gt;0),(L1147-H1147)/H1147,""))</f>
        <v/>
      </c>
      <c r="N1147" s="6">
        <v>45722</v>
      </c>
      <c r="O1147" s="5">
        <v>194.5</v>
      </c>
      <c r="P1147" s="8" t="str">
        <f>IF(AND(L1147&gt;0,O1147&gt;0),(O1147-L1147)/L1147,"")</f>
        <v/>
      </c>
      <c r="Q1147" s="9"/>
      <c r="R1147" s="9">
        <v>1</v>
      </c>
      <c r="S1147" s="10">
        <f>IF(N1147&gt;0,TODAY()-N1147,"")</f>
        <v>389</v>
      </c>
    </row>
    <row r="1148" ht="17" customHeight="1" spans="1:19" x14ac:dyDescent="0.25">
      <c r="A1148" s="11" t="s">
        <v>1934</v>
      </c>
      <c r="B1148" s="11" t="s">
        <v>1935</v>
      </c>
      <c r="C1148" s="11" t="s">
        <v>2315</v>
      </c>
      <c r="D1148" s="11" t="s">
        <v>2316</v>
      </c>
      <c r="E1148" s="12">
        <v>20</v>
      </c>
      <c r="F1148" s="13">
        <v>1618.75</v>
      </c>
      <c r="G1148" s="14">
        <v>45790</v>
      </c>
      <c r="H1148" s="13">
        <v>1557.5</v>
      </c>
      <c r="I1148" s="15" t="s">
        <v>24</v>
      </c>
      <c r="J1148" s="13"/>
      <c r="K1148" s="16" t="str">
        <f>IF(AND(H1148&gt;0,J1148&gt;0),(J1148-H1148)/H1148,"")</f>
        <v/>
      </c>
      <c r="L1148" s="13"/>
      <c r="M1148" s="16" t="str">
        <f>IF(AND(J1148&gt;0,L1148&gt;0),(L1148-J1148)/J1148,IF(AND(H1148&gt;0,L1148&gt;0),(L1148-H1148)/H1148,""))</f>
        <v/>
      </c>
      <c r="N1148" s="14">
        <v>45909</v>
      </c>
      <c r="O1148" s="13">
        <v>1680</v>
      </c>
      <c r="P1148" s="16" t="str">
        <f>IF(AND(L1148&gt;0,O1148&gt;0),(O1148-L1148)/L1148,"")</f>
        <v/>
      </c>
      <c r="Q1148" s="18">
        <v>119</v>
      </c>
      <c r="R1148" s="18">
        <v>2</v>
      </c>
      <c r="S1148" s="10">
        <f>IF(N1148&gt;0,TODAY()-N1148,"")</f>
        <v>202</v>
      </c>
    </row>
    <row r="1149" ht="17" customHeight="1" spans="1:19" x14ac:dyDescent="0.25">
      <c r="A1149" s="3" t="s">
        <v>1934</v>
      </c>
      <c r="B1149" s="3" t="s">
        <v>1935</v>
      </c>
      <c r="C1149" s="3" t="s">
        <v>2317</v>
      </c>
      <c r="D1149" s="3" t="s">
        <v>2318</v>
      </c>
      <c r="E1149" s="4">
        <v>9</v>
      </c>
      <c r="F1149" s="5">
        <v>704.7</v>
      </c>
      <c r="G1149" s="6">
        <v>45722</v>
      </c>
      <c r="H1149" s="5">
        <v>704.55</v>
      </c>
      <c r="I1149" s="7" t="s">
        <v>57</v>
      </c>
      <c r="J1149" s="5">
        <v>705</v>
      </c>
      <c r="K1149" s="24">
        <f>IF(AND(H1149&gt;0,J1149&gt;0),(J1149-H1149)/H1149,"")</f>
        <v>0.0006387055567384082</v>
      </c>
      <c r="L1149" s="5"/>
      <c r="M1149" s="8" t="str">
        <f>IF(AND(J1149&gt;0,L1149&gt;0),(L1149-J1149)/J1149,IF(AND(H1149&gt;0,L1149&gt;0),(L1149-H1149)/H1149,""))</f>
        <v/>
      </c>
      <c r="N1149" s="6">
        <v>45953</v>
      </c>
      <c r="O1149" s="5">
        <v>705</v>
      </c>
      <c r="P1149" s="8" t="str">
        <f>IF(AND(L1149&gt;0,O1149&gt;0),(O1149-L1149)/L1149,"")</f>
        <v/>
      </c>
      <c r="Q1149" s="9">
        <v>77</v>
      </c>
      <c r="R1149" s="9">
        <v>4</v>
      </c>
      <c r="S1149" s="21">
        <f>IF(N1149&gt;0,TODAY()-N1149,"")</f>
        <v>158</v>
      </c>
    </row>
    <row r="1150" ht="17" customHeight="1" spans="1:19" x14ac:dyDescent="0.25">
      <c r="A1150" s="11" t="s">
        <v>1934</v>
      </c>
      <c r="B1150" s="11" t="s">
        <v>1935</v>
      </c>
      <c r="C1150" s="11" t="s">
        <v>2319</v>
      </c>
      <c r="D1150" s="11" t="s">
        <v>2320</v>
      </c>
      <c r="E1150" s="12">
        <v>8</v>
      </c>
      <c r="F1150" s="13">
        <v>1070.18</v>
      </c>
      <c r="G1150" s="14">
        <v>45722</v>
      </c>
      <c r="H1150" s="13">
        <v>1070.18</v>
      </c>
      <c r="I1150" s="15" t="s">
        <v>24</v>
      </c>
      <c r="J1150" s="13"/>
      <c r="K1150" s="16" t="str">
        <f>IF(AND(H1150&gt;0,J1150&gt;0),(J1150-H1150)/H1150,"")</f>
        <v/>
      </c>
      <c r="L1150" s="13"/>
      <c r="M1150" s="16" t="str">
        <f>IF(AND(J1150&gt;0,L1150&gt;0),(L1150-J1150)/J1150,IF(AND(H1150&gt;0,L1150&gt;0),(L1150-H1150)/H1150,""))</f>
        <v/>
      </c>
      <c r="N1150" s="14">
        <v>45722</v>
      </c>
      <c r="O1150" s="13">
        <v>1070.18</v>
      </c>
      <c r="P1150" s="16" t="str">
        <f>IF(AND(L1150&gt;0,O1150&gt;0),(O1150-L1150)/L1150,"")</f>
        <v/>
      </c>
      <c r="Q1150" s="18"/>
      <c r="R1150" s="18">
        <v>1</v>
      </c>
      <c r="S1150" s="10">
        <f>IF(N1150&gt;0,TODAY()-N1150,"")</f>
        <v>389</v>
      </c>
    </row>
    <row r="1151" ht="17" customHeight="1" spans="1:19" x14ac:dyDescent="0.25">
      <c r="A1151" s="3" t="s">
        <v>1934</v>
      </c>
      <c r="B1151" s="3" t="s">
        <v>1935</v>
      </c>
      <c r="C1151" s="3" t="s">
        <v>2321</v>
      </c>
      <c r="D1151" s="3" t="s">
        <v>2322</v>
      </c>
      <c r="E1151" s="4">
        <v>3</v>
      </c>
      <c r="F1151" s="5">
        <v>900</v>
      </c>
      <c r="G1151" s="6">
        <v>45854</v>
      </c>
      <c r="H1151" s="5">
        <v>900</v>
      </c>
      <c r="I1151" s="7" t="s">
        <v>24</v>
      </c>
      <c r="J1151" s="5"/>
      <c r="K1151" s="8" t="str">
        <f>IF(AND(H1151&gt;0,J1151&gt;0),(J1151-H1151)/H1151,"")</f>
        <v/>
      </c>
      <c r="L1151" s="5"/>
      <c r="M1151" s="8" t="str">
        <f>IF(AND(J1151&gt;0,L1151&gt;0),(L1151-J1151)/J1151,IF(AND(H1151&gt;0,L1151&gt;0),(L1151-H1151)/H1151,""))</f>
        <v/>
      </c>
      <c r="N1151" s="6">
        <v>45854</v>
      </c>
      <c r="O1151" s="5">
        <v>900</v>
      </c>
      <c r="P1151" s="8" t="str">
        <f>IF(AND(L1151&gt;0,O1151&gt;0),(O1151-L1151)/L1151,"")</f>
        <v/>
      </c>
      <c r="Q1151" s="9"/>
      <c r="R1151" s="9">
        <v>1</v>
      </c>
      <c r="S1151" s="10">
        <f>IF(N1151&gt;0,TODAY()-N1151,"")</f>
        <v>257</v>
      </c>
    </row>
    <row r="1152" ht="17" customHeight="1" spans="1:19" x14ac:dyDescent="0.25">
      <c r="A1152" s="11" t="s">
        <v>1934</v>
      </c>
      <c r="B1152" s="11" t="s">
        <v>1935</v>
      </c>
      <c r="C1152" s="11" t="s">
        <v>2323</v>
      </c>
      <c r="D1152" s="11" t="s">
        <v>2324</v>
      </c>
      <c r="E1152" s="12">
        <v>12</v>
      </c>
      <c r="F1152" s="13">
        <v>281</v>
      </c>
      <c r="G1152" s="14">
        <v>45810</v>
      </c>
      <c r="H1152" s="13">
        <v>281</v>
      </c>
      <c r="I1152" s="15" t="s">
        <v>24</v>
      </c>
      <c r="J1152" s="13"/>
      <c r="K1152" s="16" t="str">
        <f>IF(AND(H1152&gt;0,J1152&gt;0),(J1152-H1152)/H1152,"")</f>
        <v/>
      </c>
      <c r="L1152" s="13"/>
      <c r="M1152" s="16" t="str">
        <f>IF(AND(J1152&gt;0,L1152&gt;0),(L1152-J1152)/J1152,IF(AND(H1152&gt;0,L1152&gt;0),(L1152-H1152)/H1152,""))</f>
        <v/>
      </c>
      <c r="N1152" s="14">
        <v>45810</v>
      </c>
      <c r="O1152" s="13">
        <v>281</v>
      </c>
      <c r="P1152" s="16" t="str">
        <f>IF(AND(L1152&gt;0,O1152&gt;0),(O1152-L1152)/L1152,"")</f>
        <v/>
      </c>
      <c r="Q1152" s="18"/>
      <c r="R1152" s="18">
        <v>1</v>
      </c>
      <c r="S1152" s="10">
        <f>IF(N1152&gt;0,TODAY()-N1152,"")</f>
        <v>301</v>
      </c>
    </row>
    <row r="1153" ht="17" customHeight="1" spans="1:19" x14ac:dyDescent="0.25">
      <c r="A1153" s="3" t="s">
        <v>1934</v>
      </c>
      <c r="B1153" s="3" t="s">
        <v>1935</v>
      </c>
      <c r="C1153" s="3" t="s">
        <v>2325</v>
      </c>
      <c r="D1153" s="3" t="s">
        <v>2326</v>
      </c>
      <c r="E1153" s="4">
        <v>12</v>
      </c>
      <c r="F1153" s="5">
        <v>470.18</v>
      </c>
      <c r="G1153" s="6">
        <v>45722</v>
      </c>
      <c r="H1153" s="5">
        <v>470.18</v>
      </c>
      <c r="I1153" s="7" t="s">
        <v>24</v>
      </c>
      <c r="J1153" s="5"/>
      <c r="K1153" s="8" t="str">
        <f>IF(AND(H1153&gt;0,J1153&gt;0),(J1153-H1153)/H1153,"")</f>
        <v/>
      </c>
      <c r="L1153" s="5"/>
      <c r="M1153" s="8" t="str">
        <f>IF(AND(J1153&gt;0,L1153&gt;0),(L1153-J1153)/J1153,IF(AND(H1153&gt;0,L1153&gt;0),(L1153-H1153)/H1153,""))</f>
        <v/>
      </c>
      <c r="N1153" s="6">
        <v>45722</v>
      </c>
      <c r="O1153" s="5">
        <v>470.18</v>
      </c>
      <c r="P1153" s="8" t="str">
        <f>IF(AND(L1153&gt;0,O1153&gt;0),(O1153-L1153)/L1153,"")</f>
        <v/>
      </c>
      <c r="Q1153" s="9"/>
      <c r="R1153" s="9">
        <v>1</v>
      </c>
      <c r="S1153" s="10">
        <f>IF(N1153&gt;0,TODAY()-N1153,"")</f>
        <v>389</v>
      </c>
    </row>
    <row r="1154" ht="17" customHeight="1" spans="1:19" x14ac:dyDescent="0.25">
      <c r="A1154" s="11" t="s">
        <v>1934</v>
      </c>
      <c r="B1154" s="11" t="s">
        <v>1935</v>
      </c>
      <c r="C1154" s="11" t="s">
        <v>2327</v>
      </c>
      <c r="D1154" s="11" t="s">
        <v>2328</v>
      </c>
      <c r="E1154" s="12">
        <v>12</v>
      </c>
      <c r="F1154" s="13">
        <v>1059</v>
      </c>
      <c r="G1154" s="14">
        <v>45826</v>
      </c>
      <c r="H1154" s="13">
        <v>1059</v>
      </c>
      <c r="I1154" s="15" t="s">
        <v>24</v>
      </c>
      <c r="J1154" s="13"/>
      <c r="K1154" s="16" t="str">
        <f>IF(AND(H1154&gt;0,J1154&gt;0),(J1154-H1154)/H1154,"")</f>
        <v/>
      </c>
      <c r="L1154" s="13"/>
      <c r="M1154" s="16" t="str">
        <f>IF(AND(J1154&gt;0,L1154&gt;0),(L1154-J1154)/J1154,IF(AND(H1154&gt;0,L1154&gt;0),(L1154-H1154)/H1154,""))</f>
        <v/>
      </c>
      <c r="N1154" s="14">
        <v>45826</v>
      </c>
      <c r="O1154" s="13">
        <v>1059</v>
      </c>
      <c r="P1154" s="16" t="str">
        <f>IF(AND(L1154&gt;0,O1154&gt;0),(O1154-L1154)/L1154,"")</f>
        <v/>
      </c>
      <c r="Q1154" s="18"/>
      <c r="R1154" s="18">
        <v>1</v>
      </c>
      <c r="S1154" s="10">
        <f>IF(N1154&gt;0,TODAY()-N1154,"")</f>
        <v>285</v>
      </c>
    </row>
    <row r="1155" ht="17" customHeight="1" spans="1:19" x14ac:dyDescent="0.25">
      <c r="A1155" s="3" t="s">
        <v>1934</v>
      </c>
      <c r="B1155" s="3" t="s">
        <v>1935</v>
      </c>
      <c r="C1155" s="3" t="s">
        <v>2329</v>
      </c>
      <c r="D1155" s="3" t="s">
        <v>2330</v>
      </c>
      <c r="E1155" s="4">
        <v>1</v>
      </c>
      <c r="F1155" s="5">
        <v>167.5</v>
      </c>
      <c r="G1155" s="6">
        <v>45684</v>
      </c>
      <c r="H1155" s="5">
        <v>167.5</v>
      </c>
      <c r="I1155" s="7" t="s">
        <v>24</v>
      </c>
      <c r="J1155" s="5"/>
      <c r="K1155" s="8" t="str">
        <f>IF(AND(H1155&gt;0,J1155&gt;0),(J1155-H1155)/H1155,"")</f>
        <v/>
      </c>
      <c r="L1155" s="5"/>
      <c r="M1155" s="8" t="str">
        <f>IF(AND(J1155&gt;0,L1155&gt;0),(L1155-J1155)/J1155,IF(AND(H1155&gt;0,L1155&gt;0),(L1155-H1155)/H1155,""))</f>
        <v/>
      </c>
      <c r="N1155" s="6">
        <v>45684</v>
      </c>
      <c r="O1155" s="5">
        <v>167.5</v>
      </c>
      <c r="P1155" s="8" t="str">
        <f>IF(AND(L1155&gt;0,O1155&gt;0),(O1155-L1155)/L1155,"")</f>
        <v/>
      </c>
      <c r="Q1155" s="9"/>
      <c r="R1155" s="9">
        <v>1</v>
      </c>
      <c r="S1155" s="10">
        <f>IF(N1155&gt;0,TODAY()-N1155,"")</f>
        <v>427</v>
      </c>
    </row>
    <row r="1156" ht="17" customHeight="1" spans="1:19" x14ac:dyDescent="0.25">
      <c r="A1156" s="11" t="s">
        <v>1934</v>
      </c>
      <c r="B1156" s="11" t="s">
        <v>1935</v>
      </c>
      <c r="C1156" s="11" t="s">
        <v>2331</v>
      </c>
      <c r="D1156" s="11" t="s">
        <v>2332</v>
      </c>
      <c r="E1156" s="12">
        <v>1</v>
      </c>
      <c r="F1156" s="13">
        <v>167.5</v>
      </c>
      <c r="G1156" s="14">
        <v>45684</v>
      </c>
      <c r="H1156" s="13">
        <v>167.5</v>
      </c>
      <c r="I1156" s="15" t="s">
        <v>24</v>
      </c>
      <c r="J1156" s="13"/>
      <c r="K1156" s="16" t="str">
        <f>IF(AND(H1156&gt;0,J1156&gt;0),(J1156-H1156)/H1156,"")</f>
        <v/>
      </c>
      <c r="L1156" s="13"/>
      <c r="M1156" s="16" t="str">
        <f>IF(AND(J1156&gt;0,L1156&gt;0),(L1156-J1156)/J1156,IF(AND(H1156&gt;0,L1156&gt;0),(L1156-H1156)/H1156,""))</f>
        <v/>
      </c>
      <c r="N1156" s="14">
        <v>45684</v>
      </c>
      <c r="O1156" s="13">
        <v>167.5</v>
      </c>
      <c r="P1156" s="16" t="str">
        <f>IF(AND(L1156&gt;0,O1156&gt;0),(O1156-L1156)/L1156,"")</f>
        <v/>
      </c>
      <c r="Q1156" s="18"/>
      <c r="R1156" s="18">
        <v>1</v>
      </c>
      <c r="S1156" s="10">
        <f>IF(N1156&gt;0,TODAY()-N1156,"")</f>
        <v>427</v>
      </c>
    </row>
    <row r="1157" ht="17" customHeight="1" spans="1:19" x14ac:dyDescent="0.25">
      <c r="A1157" s="3" t="s">
        <v>1934</v>
      </c>
      <c r="B1157" s="3" t="s">
        <v>1935</v>
      </c>
      <c r="C1157" s="3" t="s">
        <v>2333</v>
      </c>
      <c r="D1157" s="3" t="s">
        <v>2334</v>
      </c>
      <c r="E1157" s="4">
        <v>192</v>
      </c>
      <c r="F1157" s="5">
        <v>185.5625</v>
      </c>
      <c r="G1157" s="6">
        <v>45716</v>
      </c>
      <c r="H1157" s="5">
        <v>183.5</v>
      </c>
      <c r="I1157" s="7" t="s">
        <v>24</v>
      </c>
      <c r="J1157" s="5"/>
      <c r="K1157" s="8" t="str">
        <f>IF(AND(H1157&gt;0,J1157&gt;0),(J1157-H1157)/H1157,"")</f>
        <v/>
      </c>
      <c r="L1157" s="5"/>
      <c r="M1157" s="8" t="str">
        <f>IF(AND(J1157&gt;0,L1157&gt;0),(L1157-J1157)/J1157,IF(AND(H1157&gt;0,L1157&gt;0),(L1157-H1157)/H1157,""))</f>
        <v/>
      </c>
      <c r="N1157" s="6">
        <v>45909</v>
      </c>
      <c r="O1157" s="5">
        <v>200</v>
      </c>
      <c r="P1157" s="8" t="str">
        <f>IF(AND(L1157&gt;0,O1157&gt;0),(O1157-L1157)/L1157,"")</f>
        <v/>
      </c>
      <c r="Q1157" s="9">
        <v>39</v>
      </c>
      <c r="R1157" s="9">
        <v>6</v>
      </c>
      <c r="S1157" s="10">
        <f>IF(N1157&gt;0,TODAY()-N1157,"")</f>
        <v>202</v>
      </c>
    </row>
    <row r="1158" ht="17" customHeight="1" spans="1:19" x14ac:dyDescent="0.25">
      <c r="A1158" s="11" t="s">
        <v>1934</v>
      </c>
      <c r="B1158" s="11" t="s">
        <v>1935</v>
      </c>
      <c r="C1158" s="11" t="s">
        <v>2335</v>
      </c>
      <c r="D1158" s="11" t="s">
        <v>2336</v>
      </c>
      <c r="E1158" s="12">
        <v>9</v>
      </c>
      <c r="F1158" s="13">
        <v>303.55555555555554</v>
      </c>
      <c r="G1158" s="14">
        <v>45730</v>
      </c>
      <c r="H1158" s="13">
        <v>281</v>
      </c>
      <c r="I1158" s="15" t="s">
        <v>57</v>
      </c>
      <c r="J1158" s="13">
        <v>310</v>
      </c>
      <c r="K1158" s="20">
        <f>IF(AND(H1158&gt;0,J1158&gt;0),(J1158-H1158)/H1158,"")</f>
        <v>0.10320284697508895</v>
      </c>
      <c r="L1158" s="13"/>
      <c r="M1158" s="16" t="str">
        <f>IF(AND(J1158&gt;0,L1158&gt;0),(L1158-J1158)/J1158,IF(AND(H1158&gt;0,L1158&gt;0),(L1158-H1158)/H1158,""))</f>
        <v/>
      </c>
      <c r="N1158" s="14">
        <v>45932</v>
      </c>
      <c r="O1158" s="13">
        <v>310</v>
      </c>
      <c r="P1158" s="16" t="str">
        <f>IF(AND(L1158&gt;0,O1158&gt;0),(O1158-L1158)/L1158,"")</f>
        <v/>
      </c>
      <c r="Q1158" s="18">
        <v>51</v>
      </c>
      <c r="R1158" s="18">
        <v>5</v>
      </c>
      <c r="S1158" s="21">
        <f>IF(N1158&gt;0,TODAY()-N1158,"")</f>
        <v>179</v>
      </c>
    </row>
    <row r="1159" ht="17" customHeight="1" spans="1:19" x14ac:dyDescent="0.25">
      <c r="A1159" s="3" t="s">
        <v>1934</v>
      </c>
      <c r="B1159" s="3" t="s">
        <v>1935</v>
      </c>
      <c r="C1159" s="3" t="s">
        <v>2337</v>
      </c>
      <c r="D1159" s="3" t="s">
        <v>2338</v>
      </c>
      <c r="E1159" s="4">
        <v>1</v>
      </c>
      <c r="F1159" s="5">
        <v>172</v>
      </c>
      <c r="G1159" s="6">
        <v>45684</v>
      </c>
      <c r="H1159" s="5">
        <v>172</v>
      </c>
      <c r="I1159" s="7" t="s">
        <v>24</v>
      </c>
      <c r="J1159" s="5"/>
      <c r="K1159" s="8" t="str">
        <f>IF(AND(H1159&gt;0,J1159&gt;0),(J1159-H1159)/H1159,"")</f>
        <v/>
      </c>
      <c r="L1159" s="5"/>
      <c r="M1159" s="8" t="str">
        <f>IF(AND(J1159&gt;0,L1159&gt;0),(L1159-J1159)/J1159,IF(AND(H1159&gt;0,L1159&gt;0),(L1159-H1159)/H1159,""))</f>
        <v/>
      </c>
      <c r="N1159" s="6">
        <v>45684</v>
      </c>
      <c r="O1159" s="5">
        <v>172</v>
      </c>
      <c r="P1159" s="8" t="str">
        <f>IF(AND(L1159&gt;0,O1159&gt;0),(O1159-L1159)/L1159,"")</f>
        <v/>
      </c>
      <c r="Q1159" s="9"/>
      <c r="R1159" s="9">
        <v>1</v>
      </c>
      <c r="S1159" s="10">
        <f>IF(N1159&gt;0,TODAY()-N1159,"")</f>
        <v>427</v>
      </c>
    </row>
    <row r="1160" ht="17" customHeight="1" spans="1:19" x14ac:dyDescent="0.25">
      <c r="A1160" s="11" t="s">
        <v>1934</v>
      </c>
      <c r="B1160" s="11" t="s">
        <v>1935</v>
      </c>
      <c r="C1160" s="11" t="s">
        <v>2339</v>
      </c>
      <c r="D1160" s="11" t="s">
        <v>2338</v>
      </c>
      <c r="E1160" s="12">
        <v>1</v>
      </c>
      <c r="F1160" s="13">
        <v>172</v>
      </c>
      <c r="G1160" s="14">
        <v>45684</v>
      </c>
      <c r="H1160" s="13">
        <v>172</v>
      </c>
      <c r="I1160" s="15" t="s">
        <v>24</v>
      </c>
      <c r="J1160" s="13"/>
      <c r="K1160" s="16" t="str">
        <f>IF(AND(H1160&gt;0,J1160&gt;0),(J1160-H1160)/H1160,"")</f>
        <v/>
      </c>
      <c r="L1160" s="13"/>
      <c r="M1160" s="16" t="str">
        <f>IF(AND(J1160&gt;0,L1160&gt;0),(L1160-J1160)/J1160,IF(AND(H1160&gt;0,L1160&gt;0),(L1160-H1160)/H1160,""))</f>
        <v/>
      </c>
      <c r="N1160" s="14">
        <v>45684</v>
      </c>
      <c r="O1160" s="13">
        <v>172</v>
      </c>
      <c r="P1160" s="16" t="str">
        <f>IF(AND(L1160&gt;0,O1160&gt;0),(O1160-L1160)/L1160,"")</f>
        <v/>
      </c>
      <c r="Q1160" s="18"/>
      <c r="R1160" s="18">
        <v>1</v>
      </c>
      <c r="S1160" s="10">
        <f>IF(N1160&gt;0,TODAY()-N1160,"")</f>
        <v>427</v>
      </c>
    </row>
    <row r="1161" ht="17" customHeight="1" spans="1:19" x14ac:dyDescent="0.25">
      <c r="A1161" s="3" t="s">
        <v>1934</v>
      </c>
      <c r="B1161" s="3" t="s">
        <v>1935</v>
      </c>
      <c r="C1161" s="3" t="s">
        <v>2340</v>
      </c>
      <c r="D1161" s="3" t="s">
        <v>2341</v>
      </c>
      <c r="E1161" s="4">
        <v>56</v>
      </c>
      <c r="F1161" s="5">
        <v>1132.5010714285713</v>
      </c>
      <c r="G1161" s="6">
        <v>45677</v>
      </c>
      <c r="H1161" s="5">
        <v>1119.82</v>
      </c>
      <c r="I1161" s="7" t="s">
        <v>24</v>
      </c>
      <c r="J1161" s="5"/>
      <c r="K1161" s="8" t="str">
        <f>IF(AND(H1161&gt;0,J1161&gt;0),(J1161-H1161)/H1161,"")</f>
        <v/>
      </c>
      <c r="L1161" s="5"/>
      <c r="M1161" s="8" t="str">
        <f>IF(AND(J1161&gt;0,L1161&gt;0),(L1161-J1161)/J1161,IF(AND(H1161&gt;0,L1161&gt;0),(L1161-H1161)/H1161,""))</f>
        <v/>
      </c>
      <c r="N1161" s="6">
        <v>45845</v>
      </c>
      <c r="O1161" s="5">
        <v>1238.18</v>
      </c>
      <c r="P1161" s="8" t="str">
        <f>IF(AND(L1161&gt;0,O1161&gt;0),(O1161-L1161)/L1161,"")</f>
        <v/>
      </c>
      <c r="Q1161" s="9">
        <v>19</v>
      </c>
      <c r="R1161" s="9">
        <v>10</v>
      </c>
      <c r="S1161" s="10">
        <f>IF(N1161&gt;0,TODAY()-N1161,"")</f>
        <v>266</v>
      </c>
    </row>
    <row r="1162" ht="17" customHeight="1" spans="1:19" x14ac:dyDescent="0.25">
      <c r="A1162" s="11" t="s">
        <v>1934</v>
      </c>
      <c r="B1162" s="11" t="s">
        <v>1935</v>
      </c>
      <c r="C1162" s="11" t="s">
        <v>2342</v>
      </c>
      <c r="D1162" s="11" t="s">
        <v>2343</v>
      </c>
      <c r="E1162" s="12">
        <v>13</v>
      </c>
      <c r="F1162" s="13">
        <v>1360.3076923076924</v>
      </c>
      <c r="G1162" s="14">
        <v>45722</v>
      </c>
      <c r="H1162" s="13">
        <v>1285.5</v>
      </c>
      <c r="I1162" s="15" t="s">
        <v>57</v>
      </c>
      <c r="J1162" s="13">
        <v>1480</v>
      </c>
      <c r="K1162" s="20">
        <f>IF(AND(H1162&gt;0,J1162&gt;0),(J1162-H1162)/H1162,"")</f>
        <v>0.15130299494360172</v>
      </c>
      <c r="L1162" s="13"/>
      <c r="M1162" s="16" t="str">
        <f>IF(AND(J1162&gt;0,L1162&gt;0),(L1162-J1162)/J1162,IF(AND(H1162&gt;0,L1162&gt;0),(L1162-H1162)/H1162,""))</f>
        <v/>
      </c>
      <c r="N1162" s="14">
        <v>45938</v>
      </c>
      <c r="O1162" s="13">
        <v>1480</v>
      </c>
      <c r="P1162" s="16" t="str">
        <f>IF(AND(L1162&gt;0,O1162&gt;0),(O1162-L1162)/L1162,"")</f>
        <v/>
      </c>
      <c r="Q1162" s="18">
        <v>216</v>
      </c>
      <c r="R1162" s="18">
        <v>2</v>
      </c>
      <c r="S1162" s="21">
        <f>IF(N1162&gt;0,TODAY()-N1162,"")</f>
        <v>173</v>
      </c>
    </row>
    <row r="1163" ht="17" customHeight="1" spans="1:19" x14ac:dyDescent="0.25">
      <c r="A1163" s="3" t="s">
        <v>1934</v>
      </c>
      <c r="B1163" s="3" t="s">
        <v>1935</v>
      </c>
      <c r="C1163" s="3" t="s">
        <v>2344</v>
      </c>
      <c r="D1163" s="3" t="s">
        <v>2345</v>
      </c>
      <c r="E1163" s="4">
        <v>625</v>
      </c>
      <c r="F1163" s="5">
        <v>157.148</v>
      </c>
      <c r="G1163" s="6">
        <v>45684</v>
      </c>
      <c r="H1163" s="5">
        <v>153.5</v>
      </c>
      <c r="I1163" s="7" t="s">
        <v>60</v>
      </c>
      <c r="J1163" s="5">
        <v>163</v>
      </c>
      <c r="K1163" s="24">
        <f>IF(AND(H1163&gt;0,J1163&gt;0),(J1163-H1163)/H1163,"")</f>
        <v>0.06188925081433225</v>
      </c>
      <c r="L1163" s="5"/>
      <c r="M1163" s="8" t="str">
        <f>IF(AND(J1163&gt;0,L1163&gt;0),(L1163-J1163)/J1163,IF(AND(H1163&gt;0,L1163&gt;0),(L1163-H1163)/H1163,""))</f>
        <v/>
      </c>
      <c r="N1163" s="6">
        <v>45964</v>
      </c>
      <c r="O1163" s="5">
        <v>163</v>
      </c>
      <c r="P1163" s="8" t="str">
        <f>IF(AND(L1163&gt;0,O1163&gt;0),(O1163-L1163)/L1163,"")</f>
        <v/>
      </c>
      <c r="Q1163" s="9">
        <v>28</v>
      </c>
      <c r="R1163" s="9">
        <v>11</v>
      </c>
      <c r="S1163" s="21">
        <f>IF(N1163&gt;0,TODAY()-N1163,"")</f>
        <v>147</v>
      </c>
    </row>
    <row r="1164" ht="17" customHeight="1" spans="1:19" x14ac:dyDescent="0.25">
      <c r="A1164" s="11" t="s">
        <v>1934</v>
      </c>
      <c r="B1164" s="11" t="s">
        <v>1935</v>
      </c>
      <c r="C1164" s="11" t="s">
        <v>2346</v>
      </c>
      <c r="D1164" s="11" t="s">
        <v>2347</v>
      </c>
      <c r="E1164" s="12">
        <v>8</v>
      </c>
      <c r="F1164" s="13">
        <v>224.1875</v>
      </c>
      <c r="G1164" s="14">
        <v>45684</v>
      </c>
      <c r="H1164" s="13">
        <v>208</v>
      </c>
      <c r="I1164" s="15" t="s">
        <v>24</v>
      </c>
      <c r="J1164" s="13"/>
      <c r="K1164" s="16" t="str">
        <f>IF(AND(H1164&gt;0,J1164&gt;0),(J1164-H1164)/H1164,"")</f>
        <v/>
      </c>
      <c r="L1164" s="13"/>
      <c r="M1164" s="16" t="str">
        <f>IF(AND(J1164&gt;0,L1164&gt;0),(L1164-J1164)/J1164,IF(AND(H1164&gt;0,L1164&gt;0),(L1164-H1164)/H1164,""))</f>
        <v/>
      </c>
      <c r="N1164" s="14">
        <v>45909</v>
      </c>
      <c r="O1164" s="13">
        <v>226.5</v>
      </c>
      <c r="P1164" s="16" t="str">
        <f>IF(AND(L1164&gt;0,O1164&gt;0),(O1164-L1164)/L1164,"")</f>
        <v/>
      </c>
      <c r="Q1164" s="18">
        <v>113</v>
      </c>
      <c r="R1164" s="18">
        <v>3</v>
      </c>
      <c r="S1164" s="10">
        <f>IF(N1164&gt;0,TODAY()-N1164,"")</f>
        <v>202</v>
      </c>
    </row>
    <row r="1165" ht="17" customHeight="1" spans="1:19" x14ac:dyDescent="0.25">
      <c r="A1165" s="3" t="s">
        <v>1934</v>
      </c>
      <c r="B1165" s="3" t="s">
        <v>1935</v>
      </c>
      <c r="C1165" s="3" t="s">
        <v>2348</v>
      </c>
      <c r="D1165" s="3" t="s">
        <v>2349</v>
      </c>
      <c r="E1165" s="4">
        <v>5</v>
      </c>
      <c r="F1165" s="5">
        <v>1803.8200000000002</v>
      </c>
      <c r="G1165" s="6">
        <v>45684</v>
      </c>
      <c r="H1165" s="5">
        <v>1803.82</v>
      </c>
      <c r="I1165" s="7" t="s">
        <v>24</v>
      </c>
      <c r="J1165" s="5"/>
      <c r="K1165" s="8" t="str">
        <f>IF(AND(H1165&gt;0,J1165&gt;0),(J1165-H1165)/H1165,"")</f>
        <v/>
      </c>
      <c r="L1165" s="5"/>
      <c r="M1165" s="8" t="str">
        <f>IF(AND(J1165&gt;0,L1165&gt;0),(L1165-J1165)/J1165,IF(AND(H1165&gt;0,L1165&gt;0),(L1165-H1165)/H1165,""))</f>
        <v/>
      </c>
      <c r="N1165" s="6">
        <v>45826</v>
      </c>
      <c r="O1165" s="5">
        <v>1803.82</v>
      </c>
      <c r="P1165" s="8" t="str">
        <f>IF(AND(L1165&gt;0,O1165&gt;0),(O1165-L1165)/L1165,"")</f>
        <v/>
      </c>
      <c r="Q1165" s="9">
        <v>47</v>
      </c>
      <c r="R1165" s="9">
        <v>4</v>
      </c>
      <c r="S1165" s="10">
        <f>IF(N1165&gt;0,TODAY()-N1165,"")</f>
        <v>285</v>
      </c>
    </row>
    <row r="1166" ht="17" customHeight="1" spans="1:19" x14ac:dyDescent="0.25">
      <c r="A1166" s="11" t="s">
        <v>1934</v>
      </c>
      <c r="B1166" s="11" t="s">
        <v>1935</v>
      </c>
      <c r="C1166" s="11" t="s">
        <v>2350</v>
      </c>
      <c r="D1166" s="11" t="s">
        <v>2349</v>
      </c>
      <c r="E1166" s="12">
        <v>4</v>
      </c>
      <c r="F1166" s="13">
        <v>1803.82</v>
      </c>
      <c r="G1166" s="14">
        <v>45684</v>
      </c>
      <c r="H1166" s="13">
        <v>1803.82</v>
      </c>
      <c r="I1166" s="15" t="s">
        <v>24</v>
      </c>
      <c r="J1166" s="13"/>
      <c r="K1166" s="16" t="str">
        <f>IF(AND(H1166&gt;0,J1166&gt;0),(J1166-H1166)/H1166,"")</f>
        <v/>
      </c>
      <c r="L1166" s="13"/>
      <c r="M1166" s="16" t="str">
        <f>IF(AND(J1166&gt;0,L1166&gt;0),(L1166-J1166)/J1166,IF(AND(H1166&gt;0,L1166&gt;0),(L1166-H1166)/H1166,""))</f>
        <v/>
      </c>
      <c r="N1166" s="14">
        <v>45797</v>
      </c>
      <c r="O1166" s="13">
        <v>1803.82</v>
      </c>
      <c r="P1166" s="16" t="str">
        <f>IF(AND(L1166&gt;0,O1166&gt;0),(O1166-L1166)/L1166,"")</f>
        <v/>
      </c>
      <c r="Q1166" s="18">
        <v>113</v>
      </c>
      <c r="R1166" s="18">
        <v>2</v>
      </c>
      <c r="S1166" s="10">
        <f>IF(N1166&gt;0,TODAY()-N1166,"")</f>
        <v>314</v>
      </c>
    </row>
    <row r="1167" ht="17" customHeight="1" spans="1:19" x14ac:dyDescent="0.25">
      <c r="A1167" s="3" t="s">
        <v>1934</v>
      </c>
      <c r="B1167" s="3" t="s">
        <v>1935</v>
      </c>
      <c r="C1167" s="3" t="s">
        <v>2351</v>
      </c>
      <c r="D1167" s="3" t="s">
        <v>2352</v>
      </c>
      <c r="E1167" s="4">
        <v>20</v>
      </c>
      <c r="F1167" s="5">
        <v>967.418</v>
      </c>
      <c r="G1167" s="6">
        <v>45722</v>
      </c>
      <c r="H1167" s="5">
        <v>961.09</v>
      </c>
      <c r="I1167" s="7" t="s">
        <v>57</v>
      </c>
      <c r="J1167" s="5">
        <v>992.73</v>
      </c>
      <c r="K1167" s="24">
        <f>IF(AND(H1167&gt;0,J1167&gt;0),(J1167-H1167)/H1167,"")</f>
        <v>0.032920954333100945</v>
      </c>
      <c r="L1167" s="5"/>
      <c r="M1167" s="8" t="str">
        <f>IF(AND(J1167&gt;0,L1167&gt;0),(L1167-J1167)/J1167,IF(AND(H1167&gt;0,L1167&gt;0),(L1167-H1167)/H1167,""))</f>
        <v/>
      </c>
      <c r="N1167" s="6">
        <v>45953</v>
      </c>
      <c r="O1167" s="5">
        <v>992.73</v>
      </c>
      <c r="P1167" s="8" t="str">
        <f>IF(AND(L1167&gt;0,O1167&gt;0),(O1167-L1167)/L1167,"")</f>
        <v/>
      </c>
      <c r="Q1167" s="9">
        <v>77</v>
      </c>
      <c r="R1167" s="9">
        <v>4</v>
      </c>
      <c r="S1167" s="21">
        <f>IF(N1167&gt;0,TODAY()-N1167,"")</f>
        <v>158</v>
      </c>
    </row>
    <row r="1168" ht="17" customHeight="1" spans="1:19" x14ac:dyDescent="0.25">
      <c r="A1168" s="11" t="s">
        <v>1934</v>
      </c>
      <c r="B1168" s="11" t="s">
        <v>1935</v>
      </c>
      <c r="C1168" s="11" t="s">
        <v>2353</v>
      </c>
      <c r="D1168" s="11" t="s">
        <v>2354</v>
      </c>
      <c r="E1168" s="12">
        <v>98</v>
      </c>
      <c r="F1168" s="13">
        <v>171.90816326530611</v>
      </c>
      <c r="G1168" s="14">
        <v>45797</v>
      </c>
      <c r="H1168" s="13">
        <v>167.5</v>
      </c>
      <c r="I1168" s="15" t="s">
        <v>57</v>
      </c>
      <c r="J1168" s="13">
        <v>176.5</v>
      </c>
      <c r="K1168" s="17">
        <f>IF(AND(H1168&gt;0,J1168&gt;0),(J1168-H1168)/H1168,"")</f>
        <v>0.05373134328358208</v>
      </c>
      <c r="L1168" s="13"/>
      <c r="M1168" s="16" t="str">
        <f>IF(AND(J1168&gt;0,L1168&gt;0),(L1168-J1168)/J1168,IF(AND(H1168&gt;0,L1168&gt;0),(L1168-H1168)/H1168,""))</f>
        <v/>
      </c>
      <c r="N1168" s="14">
        <v>45953</v>
      </c>
      <c r="O1168" s="13">
        <v>176.5</v>
      </c>
      <c r="P1168" s="16" t="str">
        <f>IF(AND(L1168&gt;0,O1168&gt;0),(O1168-L1168)/L1168,"")</f>
        <v/>
      </c>
      <c r="Q1168" s="18">
        <v>156</v>
      </c>
      <c r="R1168" s="18">
        <v>2</v>
      </c>
      <c r="S1168" s="21">
        <f>IF(N1168&gt;0,TODAY()-N1168,"")</f>
        <v>158</v>
      </c>
    </row>
    <row r="1169" ht="17" customHeight="1" spans="1:19" x14ac:dyDescent="0.25">
      <c r="A1169" s="3" t="s">
        <v>1934</v>
      </c>
      <c r="B1169" s="3" t="s">
        <v>1935</v>
      </c>
      <c r="C1169" s="3" t="s">
        <v>2355</v>
      </c>
      <c r="D1169" s="3" t="s">
        <v>2356</v>
      </c>
      <c r="E1169" s="4">
        <v>20</v>
      </c>
      <c r="F1169" s="5">
        <v>247.09</v>
      </c>
      <c r="G1169" s="6">
        <v>45722</v>
      </c>
      <c r="H1169" s="5">
        <v>247.09</v>
      </c>
      <c r="I1169" s="7" t="s">
        <v>24</v>
      </c>
      <c r="J1169" s="5"/>
      <c r="K1169" s="8" t="str">
        <f>IF(AND(H1169&gt;0,J1169&gt;0),(J1169-H1169)/H1169,"")</f>
        <v/>
      </c>
      <c r="L1169" s="5"/>
      <c r="M1169" s="8" t="str">
        <f>IF(AND(J1169&gt;0,L1169&gt;0),(L1169-J1169)/J1169,IF(AND(H1169&gt;0,L1169&gt;0),(L1169-H1169)/H1169,""))</f>
        <v/>
      </c>
      <c r="N1169" s="6">
        <v>45818</v>
      </c>
      <c r="O1169" s="5">
        <v>247.09</v>
      </c>
      <c r="P1169" s="8" t="str">
        <f>IF(AND(L1169&gt;0,O1169&gt;0),(O1169-L1169)/L1169,"")</f>
        <v/>
      </c>
      <c r="Q1169" s="9">
        <v>32</v>
      </c>
      <c r="R1169" s="9">
        <v>4</v>
      </c>
      <c r="S1169" s="10">
        <f>IF(N1169&gt;0,TODAY()-N1169,"")</f>
        <v>293</v>
      </c>
    </row>
    <row r="1170" ht="17" customHeight="1" spans="1:19" x14ac:dyDescent="0.25">
      <c r="A1170" s="11" t="s">
        <v>1934</v>
      </c>
      <c r="B1170" s="11" t="s">
        <v>1935</v>
      </c>
      <c r="C1170" s="11" t="s">
        <v>2357</v>
      </c>
      <c r="D1170" s="11" t="s">
        <v>2358</v>
      </c>
      <c r="E1170" s="12">
        <v>5</v>
      </c>
      <c r="F1170" s="13">
        <v>3238.04</v>
      </c>
      <c r="G1170" s="14">
        <v>45722</v>
      </c>
      <c r="H1170" s="13">
        <v>3192.55</v>
      </c>
      <c r="I1170" s="15" t="s">
        <v>57</v>
      </c>
      <c r="J1170" s="13">
        <v>3420</v>
      </c>
      <c r="K1170" s="17">
        <f>IF(AND(H1170&gt;0,J1170&gt;0),(J1170-H1170)/H1170,"")</f>
        <v>0.07124398991401851</v>
      </c>
      <c r="L1170" s="13"/>
      <c r="M1170" s="16" t="str">
        <f>IF(AND(J1170&gt;0,L1170&gt;0),(L1170-J1170)/J1170,IF(AND(H1170&gt;0,L1170&gt;0),(L1170-H1170)/H1170,""))</f>
        <v/>
      </c>
      <c r="N1170" s="14">
        <v>45953</v>
      </c>
      <c r="O1170" s="13">
        <v>3420</v>
      </c>
      <c r="P1170" s="16" t="str">
        <f>IF(AND(L1170&gt;0,O1170&gt;0),(O1170-L1170)/L1170,"")</f>
        <v/>
      </c>
      <c r="Q1170" s="18">
        <v>231</v>
      </c>
      <c r="R1170" s="18">
        <v>2</v>
      </c>
      <c r="S1170" s="21">
        <f>IF(N1170&gt;0,TODAY()-N1170,"")</f>
        <v>158</v>
      </c>
    </row>
    <row r="1171" ht="17" customHeight="1" spans="1:19" x14ac:dyDescent="0.25">
      <c r="A1171" s="3" t="s">
        <v>1934</v>
      </c>
      <c r="B1171" s="3" t="s">
        <v>1935</v>
      </c>
      <c r="C1171" s="3" t="s">
        <v>2359</v>
      </c>
      <c r="D1171" s="3" t="s">
        <v>2360</v>
      </c>
      <c r="E1171" s="4">
        <v>36</v>
      </c>
      <c r="F1171" s="5">
        <v>425</v>
      </c>
      <c r="G1171" s="6">
        <v>45797</v>
      </c>
      <c r="H1171" s="5">
        <v>425</v>
      </c>
      <c r="I1171" s="7" t="s">
        <v>24</v>
      </c>
      <c r="J1171" s="5"/>
      <c r="K1171" s="8" t="str">
        <f>IF(AND(H1171&gt;0,J1171&gt;0),(J1171-H1171)/H1171,"")</f>
        <v/>
      </c>
      <c r="L1171" s="5"/>
      <c r="M1171" s="8" t="str">
        <f>IF(AND(J1171&gt;0,L1171&gt;0),(L1171-J1171)/J1171,IF(AND(H1171&gt;0,L1171&gt;0),(L1171-H1171)/H1171,""))</f>
        <v/>
      </c>
      <c r="N1171" s="6">
        <v>45797</v>
      </c>
      <c r="O1171" s="5">
        <v>425</v>
      </c>
      <c r="P1171" s="8" t="str">
        <f>IF(AND(L1171&gt;0,O1171&gt;0),(O1171-L1171)/L1171,"")</f>
        <v/>
      </c>
      <c r="Q1171" s="9"/>
      <c r="R1171" s="9">
        <v>1</v>
      </c>
      <c r="S1171" s="10">
        <f>IF(N1171&gt;0,TODAY()-N1171,"")</f>
        <v>314</v>
      </c>
    </row>
    <row r="1172" ht="17" customHeight="1" spans="1:19" x14ac:dyDescent="0.25">
      <c r="A1172" s="11" t="s">
        <v>1934</v>
      </c>
      <c r="B1172" s="11" t="s">
        <v>1935</v>
      </c>
      <c r="C1172" s="11" t="s">
        <v>2361</v>
      </c>
      <c r="D1172" s="11" t="s">
        <v>2362</v>
      </c>
      <c r="E1172" s="12">
        <v>1</v>
      </c>
      <c r="F1172" s="13">
        <v>668</v>
      </c>
      <c r="G1172" s="14">
        <v>45684</v>
      </c>
      <c r="H1172" s="13">
        <v>668</v>
      </c>
      <c r="I1172" s="15" t="s">
        <v>24</v>
      </c>
      <c r="J1172" s="13"/>
      <c r="K1172" s="16" t="str">
        <f>IF(AND(H1172&gt;0,J1172&gt;0),(J1172-H1172)/H1172,"")</f>
        <v/>
      </c>
      <c r="L1172" s="13"/>
      <c r="M1172" s="16" t="str">
        <f>IF(AND(J1172&gt;0,L1172&gt;0),(L1172-J1172)/J1172,IF(AND(H1172&gt;0,L1172&gt;0),(L1172-H1172)/H1172,""))</f>
        <v/>
      </c>
      <c r="N1172" s="14">
        <v>45684</v>
      </c>
      <c r="O1172" s="13">
        <v>668</v>
      </c>
      <c r="P1172" s="16" t="str">
        <f>IF(AND(L1172&gt;0,O1172&gt;0),(O1172-L1172)/L1172,"")</f>
        <v/>
      </c>
      <c r="Q1172" s="18"/>
      <c r="R1172" s="18">
        <v>1</v>
      </c>
      <c r="S1172" s="10">
        <f>IF(N1172&gt;0,TODAY()-N1172,"")</f>
        <v>427</v>
      </c>
    </row>
    <row r="1173" ht="17" customHeight="1" spans="1:19" x14ac:dyDescent="0.25">
      <c r="A1173" s="3" t="s">
        <v>1934</v>
      </c>
      <c r="B1173" s="3" t="s">
        <v>1935</v>
      </c>
      <c r="C1173" s="3" t="s">
        <v>2363</v>
      </c>
      <c r="D1173" s="3" t="s">
        <v>2362</v>
      </c>
      <c r="E1173" s="4">
        <v>1</v>
      </c>
      <c r="F1173" s="5">
        <v>668</v>
      </c>
      <c r="G1173" s="6">
        <v>45684</v>
      </c>
      <c r="H1173" s="5">
        <v>668</v>
      </c>
      <c r="I1173" s="7" t="s">
        <v>24</v>
      </c>
      <c r="J1173" s="5"/>
      <c r="K1173" s="8" t="str">
        <f>IF(AND(H1173&gt;0,J1173&gt;0),(J1173-H1173)/H1173,"")</f>
        <v/>
      </c>
      <c r="L1173" s="5"/>
      <c r="M1173" s="8" t="str">
        <f>IF(AND(J1173&gt;0,L1173&gt;0),(L1173-J1173)/J1173,IF(AND(H1173&gt;0,L1173&gt;0),(L1173-H1173)/H1173,""))</f>
        <v/>
      </c>
      <c r="N1173" s="6">
        <v>45684</v>
      </c>
      <c r="O1173" s="5">
        <v>668</v>
      </c>
      <c r="P1173" s="8" t="str">
        <f>IF(AND(L1173&gt;0,O1173&gt;0),(O1173-L1173)/L1173,"")</f>
        <v/>
      </c>
      <c r="Q1173" s="9"/>
      <c r="R1173" s="9">
        <v>1</v>
      </c>
      <c r="S1173" s="10">
        <f>IF(N1173&gt;0,TODAY()-N1173,"")</f>
        <v>427</v>
      </c>
    </row>
    <row r="1174" ht="17" customHeight="1" spans="1:19" x14ac:dyDescent="0.25">
      <c r="A1174" s="11" t="s">
        <v>1934</v>
      </c>
      <c r="B1174" s="11" t="s">
        <v>1935</v>
      </c>
      <c r="C1174" s="11" t="s">
        <v>2364</v>
      </c>
      <c r="D1174" s="11" t="s">
        <v>2365</v>
      </c>
      <c r="E1174" s="12">
        <v>2</v>
      </c>
      <c r="F1174" s="13">
        <v>85.5</v>
      </c>
      <c r="G1174" s="14">
        <v>45677</v>
      </c>
      <c r="H1174" s="13">
        <v>85.5</v>
      </c>
      <c r="I1174" s="15" t="s">
        <v>24</v>
      </c>
      <c r="J1174" s="13"/>
      <c r="K1174" s="16" t="str">
        <f>IF(AND(H1174&gt;0,J1174&gt;0),(J1174-H1174)/H1174,"")</f>
        <v/>
      </c>
      <c r="L1174" s="13"/>
      <c r="M1174" s="16" t="str">
        <f>IF(AND(J1174&gt;0,L1174&gt;0),(L1174-J1174)/J1174,IF(AND(H1174&gt;0,L1174&gt;0),(L1174-H1174)/H1174,""))</f>
        <v/>
      </c>
      <c r="N1174" s="14">
        <v>45684</v>
      </c>
      <c r="O1174" s="13">
        <v>85.5</v>
      </c>
      <c r="P1174" s="16" t="str">
        <f>IF(AND(L1174&gt;0,O1174&gt;0),(O1174-L1174)/L1174,"")</f>
        <v/>
      </c>
      <c r="Q1174" s="18">
        <v>7</v>
      </c>
      <c r="R1174" s="18">
        <v>2</v>
      </c>
      <c r="S1174" s="10">
        <f>IF(N1174&gt;0,TODAY()-N1174,"")</f>
        <v>427</v>
      </c>
    </row>
    <row r="1175" ht="17" customHeight="1" spans="1:19" x14ac:dyDescent="0.25">
      <c r="A1175" s="3" t="s">
        <v>1934</v>
      </c>
      <c r="B1175" s="3" t="s">
        <v>1935</v>
      </c>
      <c r="C1175" s="3" t="s">
        <v>2366</v>
      </c>
      <c r="D1175" s="3" t="s">
        <v>2365</v>
      </c>
      <c r="E1175" s="4">
        <v>1</v>
      </c>
      <c r="F1175" s="5">
        <v>85.5</v>
      </c>
      <c r="G1175" s="6">
        <v>45684</v>
      </c>
      <c r="H1175" s="5">
        <v>85.5</v>
      </c>
      <c r="I1175" s="7" t="s">
        <v>24</v>
      </c>
      <c r="J1175" s="5"/>
      <c r="K1175" s="8" t="str">
        <f>IF(AND(H1175&gt;0,J1175&gt;0),(J1175-H1175)/H1175,"")</f>
        <v/>
      </c>
      <c r="L1175" s="5"/>
      <c r="M1175" s="8" t="str">
        <f>IF(AND(J1175&gt;0,L1175&gt;0),(L1175-J1175)/J1175,IF(AND(H1175&gt;0,L1175&gt;0),(L1175-H1175)/H1175,""))</f>
        <v/>
      </c>
      <c r="N1175" s="6">
        <v>45684</v>
      </c>
      <c r="O1175" s="5">
        <v>85.5</v>
      </c>
      <c r="P1175" s="8" t="str">
        <f>IF(AND(L1175&gt;0,O1175&gt;0),(O1175-L1175)/L1175,"")</f>
        <v/>
      </c>
      <c r="Q1175" s="9"/>
      <c r="R1175" s="9">
        <v>1</v>
      </c>
      <c r="S1175" s="10">
        <f>IF(N1175&gt;0,TODAY()-N1175,"")</f>
        <v>427</v>
      </c>
    </row>
    <row r="1176" ht="17" customHeight="1" spans="1:19" x14ac:dyDescent="0.25">
      <c r="A1176" s="11" t="s">
        <v>1934</v>
      </c>
      <c r="B1176" s="11" t="s">
        <v>1935</v>
      </c>
      <c r="C1176" s="11" t="s">
        <v>2367</v>
      </c>
      <c r="D1176" s="11" t="s">
        <v>2368</v>
      </c>
      <c r="E1176" s="12">
        <v>1</v>
      </c>
      <c r="F1176" s="13">
        <v>290</v>
      </c>
      <c r="G1176" s="14">
        <v>45938</v>
      </c>
      <c r="H1176" s="13">
        <v>290</v>
      </c>
      <c r="I1176" s="15" t="s">
        <v>57</v>
      </c>
      <c r="J1176" s="13">
        <v>290</v>
      </c>
      <c r="K1176" s="17">
        <f>IF(AND(H1176&gt;0,J1176&gt;0),(J1176-H1176)/H1176,"")</f>
        <v>0</v>
      </c>
      <c r="L1176" s="13"/>
      <c r="M1176" s="16" t="str">
        <f>IF(AND(J1176&gt;0,L1176&gt;0),(L1176-J1176)/J1176,IF(AND(H1176&gt;0,L1176&gt;0),(L1176-H1176)/H1176,""))</f>
        <v/>
      </c>
      <c r="N1176" s="14">
        <v>45938</v>
      </c>
      <c r="O1176" s="13">
        <v>290</v>
      </c>
      <c r="P1176" s="16" t="str">
        <f>IF(AND(L1176&gt;0,O1176&gt;0),(O1176-L1176)/L1176,"")</f>
        <v/>
      </c>
      <c r="Q1176" s="18"/>
      <c r="R1176" s="18">
        <v>1</v>
      </c>
      <c r="S1176" s="21">
        <f>IF(N1176&gt;0,TODAY()-N1176,"")</f>
        <v>173</v>
      </c>
    </row>
    <row r="1177" ht="17" customHeight="1" spans="1:19" x14ac:dyDescent="0.25">
      <c r="A1177" s="3" t="s">
        <v>1934</v>
      </c>
      <c r="B1177" s="3" t="s">
        <v>1935</v>
      </c>
      <c r="C1177" s="3" t="s">
        <v>2369</v>
      </c>
      <c r="D1177" s="3" t="s">
        <v>2370</v>
      </c>
      <c r="E1177" s="4">
        <v>12</v>
      </c>
      <c r="F1177" s="5">
        <v>485.5</v>
      </c>
      <c r="G1177" s="6">
        <v>45722</v>
      </c>
      <c r="H1177" s="5">
        <v>485.5</v>
      </c>
      <c r="I1177" s="7" t="s">
        <v>24</v>
      </c>
      <c r="J1177" s="5"/>
      <c r="K1177" s="8" t="str">
        <f>IF(AND(H1177&gt;0,J1177&gt;0),(J1177-H1177)/H1177,"")</f>
        <v/>
      </c>
      <c r="L1177" s="5"/>
      <c r="M1177" s="8" t="str">
        <f>IF(AND(J1177&gt;0,L1177&gt;0),(L1177-J1177)/J1177,IF(AND(H1177&gt;0,L1177&gt;0),(L1177-H1177)/H1177,""))</f>
        <v/>
      </c>
      <c r="N1177" s="6">
        <v>45722</v>
      </c>
      <c r="O1177" s="5">
        <v>485.5</v>
      </c>
      <c r="P1177" s="8" t="str">
        <f>IF(AND(L1177&gt;0,O1177&gt;0),(O1177-L1177)/L1177,"")</f>
        <v/>
      </c>
      <c r="Q1177" s="9"/>
      <c r="R1177" s="9">
        <v>1</v>
      </c>
      <c r="S1177" s="10">
        <f>IF(N1177&gt;0,TODAY()-N1177,"")</f>
        <v>389</v>
      </c>
    </row>
    <row r="1178" ht="17" customHeight="1" spans="1:19" x14ac:dyDescent="0.25">
      <c r="A1178" s="11" t="s">
        <v>1934</v>
      </c>
      <c r="B1178" s="11" t="s">
        <v>1935</v>
      </c>
      <c r="C1178" s="11" t="s">
        <v>2371</v>
      </c>
      <c r="D1178" s="11" t="s">
        <v>2372</v>
      </c>
      <c r="E1178" s="12">
        <v>40</v>
      </c>
      <c r="F1178" s="13">
        <v>372</v>
      </c>
      <c r="G1178" s="14">
        <v>45797</v>
      </c>
      <c r="H1178" s="13">
        <v>372</v>
      </c>
      <c r="I1178" s="15" t="s">
        <v>24</v>
      </c>
      <c r="J1178" s="13"/>
      <c r="K1178" s="16" t="str">
        <f>IF(AND(H1178&gt;0,J1178&gt;0),(J1178-H1178)/H1178,"")</f>
        <v/>
      </c>
      <c r="L1178" s="13"/>
      <c r="M1178" s="16" t="str">
        <f>IF(AND(J1178&gt;0,L1178&gt;0),(L1178-J1178)/J1178,IF(AND(H1178&gt;0,L1178&gt;0),(L1178-H1178)/H1178,""))</f>
        <v/>
      </c>
      <c r="N1178" s="14">
        <v>45797</v>
      </c>
      <c r="O1178" s="13">
        <v>372</v>
      </c>
      <c r="P1178" s="16" t="str">
        <f>IF(AND(L1178&gt;0,O1178&gt;0),(O1178-L1178)/L1178,"")</f>
        <v/>
      </c>
      <c r="Q1178" s="18"/>
      <c r="R1178" s="18">
        <v>1</v>
      </c>
      <c r="S1178" s="10">
        <f>IF(N1178&gt;0,TODAY()-N1178,"")</f>
        <v>314</v>
      </c>
    </row>
    <row r="1179" ht="17" customHeight="1" spans="1:19" x14ac:dyDescent="0.25">
      <c r="A1179" s="3" t="s">
        <v>1934</v>
      </c>
      <c r="B1179" s="3" t="s">
        <v>1935</v>
      </c>
      <c r="C1179" s="3" t="s">
        <v>2373</v>
      </c>
      <c r="D1179" s="3" t="s">
        <v>2374</v>
      </c>
      <c r="E1179" s="4">
        <v>12</v>
      </c>
      <c r="F1179" s="5">
        <v>1978.365</v>
      </c>
      <c r="G1179" s="6">
        <v>45758</v>
      </c>
      <c r="H1179" s="5">
        <v>1933.09</v>
      </c>
      <c r="I1179" s="7" t="s">
        <v>24</v>
      </c>
      <c r="J1179" s="5"/>
      <c r="K1179" s="8" t="str">
        <f>IF(AND(H1179&gt;0,J1179&gt;0),(J1179-H1179)/H1179,"")</f>
        <v/>
      </c>
      <c r="L1179" s="5"/>
      <c r="M1179" s="8" t="str">
        <f>IF(AND(J1179&gt;0,L1179&gt;0),(L1179-J1179)/J1179,IF(AND(H1179&gt;0,L1179&gt;0),(L1179-H1179)/H1179,""))</f>
        <v/>
      </c>
      <c r="N1179" s="6">
        <v>45909</v>
      </c>
      <c r="O1179" s="5">
        <v>2023.64</v>
      </c>
      <c r="P1179" s="8" t="str">
        <f>IF(AND(L1179&gt;0,O1179&gt;0),(O1179-L1179)/L1179,"")</f>
        <v/>
      </c>
      <c r="Q1179" s="9">
        <v>151</v>
      </c>
      <c r="R1179" s="9">
        <v>2</v>
      </c>
      <c r="S1179" s="10">
        <f>IF(N1179&gt;0,TODAY()-N1179,"")</f>
        <v>202</v>
      </c>
    </row>
    <row r="1180" ht="17" customHeight="1" spans="1:19" x14ac:dyDescent="0.25">
      <c r="A1180" s="11" t="s">
        <v>1934</v>
      </c>
      <c r="B1180" s="11" t="s">
        <v>1935</v>
      </c>
      <c r="C1180" s="11" t="s">
        <v>2375</v>
      </c>
      <c r="D1180" s="11" t="s">
        <v>2376</v>
      </c>
      <c r="E1180" s="12">
        <v>4</v>
      </c>
      <c r="F1180" s="13">
        <v>3102</v>
      </c>
      <c r="G1180" s="14">
        <v>45758</v>
      </c>
      <c r="H1180" s="13">
        <v>3102</v>
      </c>
      <c r="I1180" s="15" t="s">
        <v>24</v>
      </c>
      <c r="J1180" s="13"/>
      <c r="K1180" s="16" t="str">
        <f>IF(AND(H1180&gt;0,J1180&gt;0),(J1180-H1180)/H1180,"")</f>
        <v/>
      </c>
      <c r="L1180" s="13"/>
      <c r="M1180" s="16" t="str">
        <f>IF(AND(J1180&gt;0,L1180&gt;0),(L1180-J1180)/J1180,IF(AND(H1180&gt;0,L1180&gt;0),(L1180-H1180)/H1180,""))</f>
        <v/>
      </c>
      <c r="N1180" s="14">
        <v>45758</v>
      </c>
      <c r="O1180" s="13">
        <v>3102</v>
      </c>
      <c r="P1180" s="16" t="str">
        <f>IF(AND(L1180&gt;0,O1180&gt;0),(O1180-L1180)/L1180,"")</f>
        <v/>
      </c>
      <c r="Q1180" s="18"/>
      <c r="R1180" s="18">
        <v>1</v>
      </c>
      <c r="S1180" s="10">
        <f>IF(N1180&gt;0,TODAY()-N1180,"")</f>
        <v>353</v>
      </c>
    </row>
    <row r="1181" ht="17" customHeight="1" spans="1:19" x14ac:dyDescent="0.25">
      <c r="A1181" s="3" t="s">
        <v>1934</v>
      </c>
      <c r="B1181" s="3" t="s">
        <v>1935</v>
      </c>
      <c r="C1181" s="3" t="s">
        <v>2377</v>
      </c>
      <c r="D1181" s="3" t="s">
        <v>2378</v>
      </c>
      <c r="E1181" s="4">
        <v>4</v>
      </c>
      <c r="F1181" s="5">
        <v>3590</v>
      </c>
      <c r="G1181" s="6">
        <v>45758</v>
      </c>
      <c r="H1181" s="5">
        <v>3590</v>
      </c>
      <c r="I1181" s="7" t="s">
        <v>24</v>
      </c>
      <c r="J1181" s="5"/>
      <c r="K1181" s="8" t="str">
        <f>IF(AND(H1181&gt;0,J1181&gt;0),(J1181-H1181)/H1181,"")</f>
        <v/>
      </c>
      <c r="L1181" s="5"/>
      <c r="M1181" s="8" t="str">
        <f>IF(AND(J1181&gt;0,L1181&gt;0),(L1181-J1181)/J1181,IF(AND(H1181&gt;0,L1181&gt;0),(L1181-H1181)/H1181,""))</f>
        <v/>
      </c>
      <c r="N1181" s="6">
        <v>45758</v>
      </c>
      <c r="O1181" s="5">
        <v>3590</v>
      </c>
      <c r="P1181" s="8" t="str">
        <f>IF(AND(L1181&gt;0,O1181&gt;0),(O1181-L1181)/L1181,"")</f>
        <v/>
      </c>
      <c r="Q1181" s="9"/>
      <c r="R1181" s="9">
        <v>1</v>
      </c>
      <c r="S1181" s="10">
        <f>IF(N1181&gt;0,TODAY()-N1181,"")</f>
        <v>353</v>
      </c>
    </row>
    <row r="1182" ht="17" customHeight="1" spans="1:19" x14ac:dyDescent="0.25">
      <c r="A1182" s="11" t="s">
        <v>1934</v>
      </c>
      <c r="B1182" s="11" t="s">
        <v>1935</v>
      </c>
      <c r="C1182" s="11" t="s">
        <v>2379</v>
      </c>
      <c r="D1182" s="11" t="s">
        <v>2380</v>
      </c>
      <c r="E1182" s="12">
        <v>13</v>
      </c>
      <c r="F1182" s="13">
        <v>2280</v>
      </c>
      <c r="G1182" s="14">
        <v>45845</v>
      </c>
      <c r="H1182" s="13">
        <v>2280</v>
      </c>
      <c r="I1182" s="15" t="s">
        <v>57</v>
      </c>
      <c r="J1182" s="13">
        <v>2280</v>
      </c>
      <c r="K1182" s="17">
        <f>IF(AND(H1182&gt;0,J1182&gt;0),(J1182-H1182)/H1182,"")</f>
        <v>0</v>
      </c>
      <c r="L1182" s="13"/>
      <c r="M1182" s="16" t="str">
        <f>IF(AND(J1182&gt;0,L1182&gt;0),(L1182-J1182)/J1182,IF(AND(H1182&gt;0,L1182&gt;0),(L1182-H1182)/H1182,""))</f>
        <v/>
      </c>
      <c r="N1182" s="14">
        <v>45938</v>
      </c>
      <c r="O1182" s="13">
        <v>2280</v>
      </c>
      <c r="P1182" s="16" t="str">
        <f>IF(AND(L1182&gt;0,O1182&gt;0),(O1182-L1182)/L1182,"")</f>
        <v/>
      </c>
      <c r="Q1182" s="18">
        <v>47</v>
      </c>
      <c r="R1182" s="18">
        <v>3</v>
      </c>
      <c r="S1182" s="21">
        <f>IF(N1182&gt;0,TODAY()-N1182,"")</f>
        <v>173</v>
      </c>
    </row>
    <row r="1183" ht="17" customHeight="1" spans="1:19" x14ac:dyDescent="0.25">
      <c r="A1183" s="3" t="s">
        <v>1934</v>
      </c>
      <c r="B1183" s="3" t="s">
        <v>1935</v>
      </c>
      <c r="C1183" s="3" t="s">
        <v>2381</v>
      </c>
      <c r="D1183" s="3" t="s">
        <v>2382</v>
      </c>
      <c r="E1183" s="4">
        <v>6</v>
      </c>
      <c r="F1183" s="5">
        <v>2280</v>
      </c>
      <c r="G1183" s="6">
        <v>45938</v>
      </c>
      <c r="H1183" s="5">
        <v>2280</v>
      </c>
      <c r="I1183" s="7" t="s">
        <v>57</v>
      </c>
      <c r="J1183" s="5">
        <v>2280</v>
      </c>
      <c r="K1183" s="24">
        <f>IF(AND(H1183&gt;0,J1183&gt;0),(J1183-H1183)/H1183,"")</f>
        <v>0</v>
      </c>
      <c r="L1183" s="5"/>
      <c r="M1183" s="8" t="str">
        <f>IF(AND(J1183&gt;0,L1183&gt;0),(L1183-J1183)/J1183,IF(AND(H1183&gt;0,L1183&gt;0),(L1183-H1183)/H1183,""))</f>
        <v/>
      </c>
      <c r="N1183" s="6">
        <v>45938</v>
      </c>
      <c r="O1183" s="5">
        <v>2280</v>
      </c>
      <c r="P1183" s="8" t="str">
        <f>IF(AND(L1183&gt;0,O1183&gt;0),(O1183-L1183)/L1183,"")</f>
        <v/>
      </c>
      <c r="Q1183" s="9"/>
      <c r="R1183" s="9">
        <v>1</v>
      </c>
      <c r="S1183" s="21">
        <f>IF(N1183&gt;0,TODAY()-N1183,"")</f>
        <v>173</v>
      </c>
    </row>
    <row r="1184" ht="17" customHeight="1" spans="1:19" x14ac:dyDescent="0.25">
      <c r="A1184" s="11" t="s">
        <v>1934</v>
      </c>
      <c r="B1184" s="11" t="s">
        <v>1935</v>
      </c>
      <c r="C1184" s="11" t="s">
        <v>2383</v>
      </c>
      <c r="D1184" s="11" t="s">
        <v>2384</v>
      </c>
      <c r="E1184" s="12">
        <v>80</v>
      </c>
      <c r="F1184" s="13">
        <v>965.0625</v>
      </c>
      <c r="G1184" s="14">
        <v>45664</v>
      </c>
      <c r="H1184" s="13">
        <v>908</v>
      </c>
      <c r="I1184" s="15" t="s">
        <v>24</v>
      </c>
      <c r="J1184" s="13"/>
      <c r="K1184" s="16" t="str">
        <f>IF(AND(H1184&gt;0,J1184&gt;0),(J1184-H1184)/H1184,"")</f>
        <v/>
      </c>
      <c r="L1184" s="13"/>
      <c r="M1184" s="16" t="str">
        <f>IF(AND(J1184&gt;0,L1184&gt;0),(L1184-J1184)/J1184,IF(AND(H1184&gt;0,L1184&gt;0),(L1184-H1184)/H1184,""))</f>
        <v/>
      </c>
      <c r="N1184" s="14">
        <v>45924</v>
      </c>
      <c r="O1184" s="13">
        <v>999.5</v>
      </c>
      <c r="P1184" s="16" t="str">
        <f>IF(AND(L1184&gt;0,O1184&gt;0),(O1184-L1184)/L1184,"")</f>
        <v/>
      </c>
      <c r="Q1184" s="18">
        <v>43</v>
      </c>
      <c r="R1184" s="18">
        <v>7</v>
      </c>
      <c r="S1184" s="10">
        <f>IF(N1184&gt;0,TODAY()-N1184,"")</f>
        <v>187</v>
      </c>
    </row>
    <row r="1185" ht="17" customHeight="1" spans="1:19" x14ac:dyDescent="0.25">
      <c r="A1185" s="3" t="s">
        <v>1934</v>
      </c>
      <c r="B1185" s="3" t="s">
        <v>1935</v>
      </c>
      <c r="C1185" s="3" t="s">
        <v>2385</v>
      </c>
      <c r="D1185" s="3" t="s">
        <v>2386</v>
      </c>
      <c r="E1185" s="4">
        <v>12</v>
      </c>
      <c r="F1185" s="5">
        <v>408</v>
      </c>
      <c r="G1185" s="6">
        <v>45722</v>
      </c>
      <c r="H1185" s="5">
        <v>408</v>
      </c>
      <c r="I1185" s="7" t="s">
        <v>24</v>
      </c>
      <c r="J1185" s="5"/>
      <c r="K1185" s="8" t="str">
        <f>IF(AND(H1185&gt;0,J1185&gt;0),(J1185-H1185)/H1185,"")</f>
        <v/>
      </c>
      <c r="L1185" s="5"/>
      <c r="M1185" s="8" t="str">
        <f>IF(AND(J1185&gt;0,L1185&gt;0),(L1185-J1185)/J1185,IF(AND(H1185&gt;0,L1185&gt;0),(L1185-H1185)/H1185,""))</f>
        <v/>
      </c>
      <c r="N1185" s="6">
        <v>45722</v>
      </c>
      <c r="O1185" s="5">
        <v>408</v>
      </c>
      <c r="P1185" s="8" t="str">
        <f>IF(AND(L1185&gt;0,O1185&gt;0),(O1185-L1185)/L1185,"")</f>
        <v/>
      </c>
      <c r="Q1185" s="9"/>
      <c r="R1185" s="9">
        <v>1</v>
      </c>
      <c r="S1185" s="10">
        <f>IF(N1185&gt;0,TODAY()-N1185,"")</f>
        <v>389</v>
      </c>
    </row>
    <row r="1186" ht="17" customHeight="1" spans="1:19" x14ac:dyDescent="0.25">
      <c r="A1186" s="11" t="s">
        <v>1934</v>
      </c>
      <c r="B1186" s="11" t="s">
        <v>1935</v>
      </c>
      <c r="C1186" s="11" t="s">
        <v>2387</v>
      </c>
      <c r="D1186" s="11" t="s">
        <v>2388</v>
      </c>
      <c r="E1186" s="12">
        <v>1</v>
      </c>
      <c r="F1186" s="13">
        <v>67.5</v>
      </c>
      <c r="G1186" s="14">
        <v>45684</v>
      </c>
      <c r="H1186" s="13">
        <v>67.5</v>
      </c>
      <c r="I1186" s="15" t="s">
        <v>24</v>
      </c>
      <c r="J1186" s="13"/>
      <c r="K1186" s="16" t="str">
        <f>IF(AND(H1186&gt;0,J1186&gt;0),(J1186-H1186)/H1186,"")</f>
        <v/>
      </c>
      <c r="L1186" s="13"/>
      <c r="M1186" s="16" t="str">
        <f>IF(AND(J1186&gt;0,L1186&gt;0),(L1186-J1186)/J1186,IF(AND(H1186&gt;0,L1186&gt;0),(L1186-H1186)/H1186,""))</f>
        <v/>
      </c>
      <c r="N1186" s="14">
        <v>45684</v>
      </c>
      <c r="O1186" s="13">
        <v>67.5</v>
      </c>
      <c r="P1186" s="16" t="str">
        <f>IF(AND(L1186&gt;0,O1186&gt;0),(O1186-L1186)/L1186,"")</f>
        <v/>
      </c>
      <c r="Q1186" s="18"/>
      <c r="R1186" s="18">
        <v>1</v>
      </c>
      <c r="S1186" s="10">
        <f>IF(N1186&gt;0,TODAY()-N1186,"")</f>
        <v>427</v>
      </c>
    </row>
    <row r="1187" ht="17" customHeight="1" spans="1:19" x14ac:dyDescent="0.25">
      <c r="A1187" s="3" t="s">
        <v>1934</v>
      </c>
      <c r="B1187" s="3" t="s">
        <v>1935</v>
      </c>
      <c r="C1187" s="3" t="s">
        <v>2389</v>
      </c>
      <c r="D1187" s="3" t="s">
        <v>2390</v>
      </c>
      <c r="E1187" s="4">
        <v>24</v>
      </c>
      <c r="F1187" s="5">
        <v>172</v>
      </c>
      <c r="G1187" s="6">
        <v>45797</v>
      </c>
      <c r="H1187" s="5">
        <v>172</v>
      </c>
      <c r="I1187" s="7" t="s">
        <v>24</v>
      </c>
      <c r="J1187" s="5"/>
      <c r="K1187" s="8" t="str">
        <f>IF(AND(H1187&gt;0,J1187&gt;0),(J1187-H1187)/H1187,"")</f>
        <v/>
      </c>
      <c r="L1187" s="5"/>
      <c r="M1187" s="8" t="str">
        <f>IF(AND(J1187&gt;0,L1187&gt;0),(L1187-J1187)/J1187,IF(AND(H1187&gt;0,L1187&gt;0),(L1187-H1187)/H1187,""))</f>
        <v/>
      </c>
      <c r="N1187" s="6">
        <v>45797</v>
      </c>
      <c r="O1187" s="5">
        <v>172</v>
      </c>
      <c r="P1187" s="8" t="str">
        <f>IF(AND(L1187&gt;0,O1187&gt;0),(O1187-L1187)/L1187,"")</f>
        <v/>
      </c>
      <c r="Q1187" s="9"/>
      <c r="R1187" s="9">
        <v>1</v>
      </c>
      <c r="S1187" s="10">
        <f>IF(N1187&gt;0,TODAY()-N1187,"")</f>
        <v>314</v>
      </c>
    </row>
    <row r="1188" ht="17" customHeight="1" spans="1:19" x14ac:dyDescent="0.25">
      <c r="A1188" s="11" t="s">
        <v>1934</v>
      </c>
      <c r="B1188" s="11" t="s">
        <v>1935</v>
      </c>
      <c r="C1188" s="11" t="s">
        <v>2391</v>
      </c>
      <c r="D1188" s="11" t="s">
        <v>2392</v>
      </c>
      <c r="E1188" s="12">
        <v>12</v>
      </c>
      <c r="F1188" s="13">
        <v>717.5</v>
      </c>
      <c r="G1188" s="14">
        <v>45722</v>
      </c>
      <c r="H1188" s="13">
        <v>717.5</v>
      </c>
      <c r="I1188" s="15" t="s">
        <v>24</v>
      </c>
      <c r="J1188" s="13"/>
      <c r="K1188" s="16" t="str">
        <f>IF(AND(H1188&gt;0,J1188&gt;0),(J1188-H1188)/H1188,"")</f>
        <v/>
      </c>
      <c r="L1188" s="13"/>
      <c r="M1188" s="16" t="str">
        <f>IF(AND(J1188&gt;0,L1188&gt;0),(L1188-J1188)/J1188,IF(AND(H1188&gt;0,L1188&gt;0),(L1188-H1188)/H1188,""))</f>
        <v/>
      </c>
      <c r="N1188" s="14">
        <v>45826</v>
      </c>
      <c r="O1188" s="13">
        <v>717.5</v>
      </c>
      <c r="P1188" s="16" t="str">
        <f>IF(AND(L1188&gt;0,O1188&gt;0),(O1188-L1188)/L1188,"")</f>
        <v/>
      </c>
      <c r="Q1188" s="18">
        <v>104</v>
      </c>
      <c r="R1188" s="18">
        <v>2</v>
      </c>
      <c r="S1188" s="10">
        <f>IF(N1188&gt;0,TODAY()-N1188,"")</f>
        <v>285</v>
      </c>
    </row>
    <row r="1189" ht="17" customHeight="1" spans="1:19" x14ac:dyDescent="0.25">
      <c r="A1189" s="3" t="s">
        <v>1934</v>
      </c>
      <c r="B1189" s="3" t="s">
        <v>1935</v>
      </c>
      <c r="C1189" s="3" t="s">
        <v>2393</v>
      </c>
      <c r="D1189" s="3" t="s">
        <v>2394</v>
      </c>
      <c r="E1189" s="4">
        <v>24</v>
      </c>
      <c r="F1189" s="5">
        <v>308</v>
      </c>
      <c r="G1189" s="6">
        <v>45797</v>
      </c>
      <c r="H1189" s="5">
        <v>308</v>
      </c>
      <c r="I1189" s="7" t="s">
        <v>24</v>
      </c>
      <c r="J1189" s="5"/>
      <c r="K1189" s="8" t="str">
        <f>IF(AND(H1189&gt;0,J1189&gt;0),(J1189-H1189)/H1189,"")</f>
        <v/>
      </c>
      <c r="L1189" s="5"/>
      <c r="M1189" s="8" t="str">
        <f>IF(AND(J1189&gt;0,L1189&gt;0),(L1189-J1189)/J1189,IF(AND(H1189&gt;0,L1189&gt;0),(L1189-H1189)/H1189,""))</f>
        <v/>
      </c>
      <c r="N1189" s="6">
        <v>45797</v>
      </c>
      <c r="O1189" s="5">
        <v>308</v>
      </c>
      <c r="P1189" s="8" t="str">
        <f>IF(AND(L1189&gt;0,O1189&gt;0),(O1189-L1189)/L1189,"")</f>
        <v/>
      </c>
      <c r="Q1189" s="9"/>
      <c r="R1189" s="9">
        <v>1</v>
      </c>
      <c r="S1189" s="10">
        <f>IF(N1189&gt;0,TODAY()-N1189,"")</f>
        <v>314</v>
      </c>
    </row>
    <row r="1190" ht="17" customHeight="1" spans="1:19" x14ac:dyDescent="0.25">
      <c r="A1190" s="11" t="s">
        <v>1934</v>
      </c>
      <c r="B1190" s="11" t="s">
        <v>1935</v>
      </c>
      <c r="C1190" s="11" t="s">
        <v>2395</v>
      </c>
      <c r="D1190" s="11" t="s">
        <v>2396</v>
      </c>
      <c r="E1190" s="12">
        <v>12</v>
      </c>
      <c r="F1190" s="13">
        <v>2109.3333333333335</v>
      </c>
      <c r="G1190" s="14">
        <v>45826</v>
      </c>
      <c r="H1190" s="13">
        <v>1981</v>
      </c>
      <c r="I1190" s="15" t="s">
        <v>57</v>
      </c>
      <c r="J1190" s="13">
        <v>2135</v>
      </c>
      <c r="K1190" s="17">
        <f>IF(AND(H1190&gt;0,J1190&gt;0),(J1190-H1190)/H1190,"")</f>
        <v>0.07773851590106007</v>
      </c>
      <c r="L1190" s="13"/>
      <c r="M1190" s="16" t="str">
        <f>IF(AND(J1190&gt;0,L1190&gt;0),(L1190-J1190)/J1190,IF(AND(H1190&gt;0,L1190&gt;0),(L1190-H1190)/H1190,""))</f>
        <v/>
      </c>
      <c r="N1190" s="14">
        <v>45938</v>
      </c>
      <c r="O1190" s="13">
        <v>2135</v>
      </c>
      <c r="P1190" s="16" t="str">
        <f>IF(AND(L1190&gt;0,O1190&gt;0),(O1190-L1190)/L1190,"")</f>
        <v/>
      </c>
      <c r="Q1190" s="18">
        <v>112</v>
      </c>
      <c r="R1190" s="18">
        <v>2</v>
      </c>
      <c r="S1190" s="21">
        <f>IF(N1190&gt;0,TODAY()-N1190,"")</f>
        <v>173</v>
      </c>
    </row>
    <row r="1191" ht="17" customHeight="1" spans="1:19" x14ac:dyDescent="0.25">
      <c r="A1191" s="3" t="s">
        <v>1934</v>
      </c>
      <c r="B1191" s="3" t="s">
        <v>1935</v>
      </c>
      <c r="C1191" s="3" t="s">
        <v>2397</v>
      </c>
      <c r="D1191" s="3" t="s">
        <v>2398</v>
      </c>
      <c r="E1191" s="4">
        <v>6</v>
      </c>
      <c r="F1191" s="5">
        <v>290</v>
      </c>
      <c r="G1191" s="6">
        <v>45722</v>
      </c>
      <c r="H1191" s="5">
        <v>290</v>
      </c>
      <c r="I1191" s="7" t="s">
        <v>24</v>
      </c>
      <c r="J1191" s="5"/>
      <c r="K1191" s="8" t="str">
        <f>IF(AND(H1191&gt;0,J1191&gt;0),(J1191-H1191)/H1191,"")</f>
        <v/>
      </c>
      <c r="L1191" s="5"/>
      <c r="M1191" s="8" t="str">
        <f>IF(AND(J1191&gt;0,L1191&gt;0),(L1191-J1191)/J1191,IF(AND(H1191&gt;0,L1191&gt;0),(L1191-H1191)/H1191,""))</f>
        <v/>
      </c>
      <c r="N1191" s="6">
        <v>45722</v>
      </c>
      <c r="O1191" s="5">
        <v>290</v>
      </c>
      <c r="P1191" s="8" t="str">
        <f>IF(AND(L1191&gt;0,O1191&gt;0),(O1191-L1191)/L1191,"")</f>
        <v/>
      </c>
      <c r="Q1191" s="9"/>
      <c r="R1191" s="9">
        <v>1</v>
      </c>
      <c r="S1191" s="10">
        <f>IF(N1191&gt;0,TODAY()-N1191,"")</f>
        <v>389</v>
      </c>
    </row>
    <row r="1192" ht="17" customHeight="1" spans="1:19" x14ac:dyDescent="0.25">
      <c r="A1192" s="11" t="s">
        <v>1934</v>
      </c>
      <c r="B1192" s="11" t="s">
        <v>1935</v>
      </c>
      <c r="C1192" s="11" t="s">
        <v>2399</v>
      </c>
      <c r="D1192" s="11" t="s">
        <v>2400</v>
      </c>
      <c r="E1192" s="12">
        <v>15</v>
      </c>
      <c r="F1192" s="13">
        <v>258.8</v>
      </c>
      <c r="G1192" s="14">
        <v>45722</v>
      </c>
      <c r="H1192" s="13">
        <v>255.5</v>
      </c>
      <c r="I1192" s="15" t="s">
        <v>57</v>
      </c>
      <c r="J1192" s="13">
        <v>272</v>
      </c>
      <c r="K1192" s="17">
        <f>IF(AND(H1192&gt;0,J1192&gt;0),(J1192-H1192)/H1192,"")</f>
        <v>0.06457925636007827</v>
      </c>
      <c r="L1192" s="13"/>
      <c r="M1192" s="16" t="str">
        <f>IF(AND(J1192&gt;0,L1192&gt;0),(L1192-J1192)/J1192,IF(AND(H1192&gt;0,L1192&gt;0),(L1192-H1192)/H1192,""))</f>
        <v/>
      </c>
      <c r="N1192" s="14">
        <v>45953</v>
      </c>
      <c r="O1192" s="13">
        <v>272</v>
      </c>
      <c r="P1192" s="16" t="str">
        <f>IF(AND(L1192&gt;0,O1192&gt;0),(O1192-L1192)/L1192,"")</f>
        <v/>
      </c>
      <c r="Q1192" s="18">
        <v>231</v>
      </c>
      <c r="R1192" s="18">
        <v>2</v>
      </c>
      <c r="S1192" s="21">
        <f>IF(N1192&gt;0,TODAY()-N1192,"")</f>
        <v>158</v>
      </c>
    </row>
    <row r="1193" ht="17" customHeight="1" spans="1:19" x14ac:dyDescent="0.25">
      <c r="A1193" s="3" t="s">
        <v>1934</v>
      </c>
      <c r="B1193" s="3" t="s">
        <v>1935</v>
      </c>
      <c r="C1193" s="3" t="s">
        <v>2401</v>
      </c>
      <c r="D1193" s="3" t="s">
        <v>2402</v>
      </c>
      <c r="E1193" s="4">
        <v>32</v>
      </c>
      <c r="F1193" s="5">
        <v>962.5</v>
      </c>
      <c r="G1193" s="6">
        <v>45797</v>
      </c>
      <c r="H1193" s="5">
        <v>962.5</v>
      </c>
      <c r="I1193" s="7" t="s">
        <v>24</v>
      </c>
      <c r="J1193" s="5"/>
      <c r="K1193" s="8" t="str">
        <f>IF(AND(H1193&gt;0,J1193&gt;0),(J1193-H1193)/H1193,"")</f>
        <v/>
      </c>
      <c r="L1193" s="5"/>
      <c r="M1193" s="8" t="str">
        <f>IF(AND(J1193&gt;0,L1193&gt;0),(L1193-J1193)/J1193,IF(AND(H1193&gt;0,L1193&gt;0),(L1193-H1193)/H1193,""))</f>
        <v/>
      </c>
      <c r="N1193" s="6">
        <v>45805</v>
      </c>
      <c r="O1193" s="5">
        <v>962.5</v>
      </c>
      <c r="P1193" s="8" t="str">
        <f>IF(AND(L1193&gt;0,O1193&gt;0),(O1193-L1193)/L1193,"")</f>
        <v/>
      </c>
      <c r="Q1193" s="9">
        <v>8</v>
      </c>
      <c r="R1193" s="9">
        <v>2</v>
      </c>
      <c r="S1193" s="10">
        <f>IF(N1193&gt;0,TODAY()-N1193,"")</f>
        <v>306</v>
      </c>
    </row>
    <row r="1194" ht="17" customHeight="1" spans="1:19" x14ac:dyDescent="0.25">
      <c r="A1194" s="11" t="s">
        <v>1934</v>
      </c>
      <c r="B1194" s="11" t="s">
        <v>1935</v>
      </c>
      <c r="C1194" s="11" t="s">
        <v>2403</v>
      </c>
      <c r="D1194" s="11" t="s">
        <v>2404</v>
      </c>
      <c r="E1194" s="12">
        <v>13</v>
      </c>
      <c r="F1194" s="13">
        <v>1360.6923076923076</v>
      </c>
      <c r="G1194" s="14">
        <v>45722</v>
      </c>
      <c r="H1194" s="13">
        <v>1285.5</v>
      </c>
      <c r="I1194" s="15" t="s">
        <v>60</v>
      </c>
      <c r="J1194" s="13">
        <v>1481</v>
      </c>
      <c r="K1194" s="20">
        <f>IF(AND(H1194&gt;0,J1194&gt;0),(J1194-H1194)/H1194,"")</f>
        <v>0.15208090237261765</v>
      </c>
      <c r="L1194" s="13"/>
      <c r="M1194" s="16" t="str">
        <f>IF(AND(J1194&gt;0,L1194&gt;0),(L1194-J1194)/J1194,IF(AND(H1194&gt;0,L1194&gt;0),(L1194-H1194)/H1194,""))</f>
        <v/>
      </c>
      <c r="N1194" s="14">
        <v>45964</v>
      </c>
      <c r="O1194" s="13">
        <v>1481</v>
      </c>
      <c r="P1194" s="16" t="str">
        <f>IF(AND(L1194&gt;0,O1194&gt;0),(O1194-L1194)/L1194,"")</f>
        <v/>
      </c>
      <c r="Q1194" s="18">
        <v>242</v>
      </c>
      <c r="R1194" s="18">
        <v>2</v>
      </c>
      <c r="S1194" s="21">
        <f>IF(N1194&gt;0,TODAY()-N1194,"")</f>
        <v>147</v>
      </c>
    </row>
    <row r="1195" ht="17" customHeight="1" spans="1:19" x14ac:dyDescent="0.25">
      <c r="A1195" s="3" t="s">
        <v>1934</v>
      </c>
      <c r="B1195" s="3" t="s">
        <v>1935</v>
      </c>
      <c r="C1195" s="3" t="s">
        <v>2405</v>
      </c>
      <c r="D1195" s="3" t="s">
        <v>2406</v>
      </c>
      <c r="E1195" s="4">
        <v>16</v>
      </c>
      <c r="F1195" s="5">
        <v>499</v>
      </c>
      <c r="G1195" s="6">
        <v>45797</v>
      </c>
      <c r="H1195" s="5">
        <v>499</v>
      </c>
      <c r="I1195" s="7" t="s">
        <v>24</v>
      </c>
      <c r="J1195" s="5"/>
      <c r="K1195" s="8" t="str">
        <f>IF(AND(H1195&gt;0,J1195&gt;0),(J1195-H1195)/H1195,"")</f>
        <v/>
      </c>
      <c r="L1195" s="5"/>
      <c r="M1195" s="8" t="str">
        <f>IF(AND(J1195&gt;0,L1195&gt;0),(L1195-J1195)/J1195,IF(AND(H1195&gt;0,L1195&gt;0),(L1195-H1195)/H1195,""))</f>
        <v/>
      </c>
      <c r="N1195" s="6">
        <v>45797</v>
      </c>
      <c r="O1195" s="5">
        <v>499</v>
      </c>
      <c r="P1195" s="8" t="str">
        <f>IF(AND(L1195&gt;0,O1195&gt;0),(O1195-L1195)/L1195,"")</f>
        <v/>
      </c>
      <c r="Q1195" s="9"/>
      <c r="R1195" s="9">
        <v>1</v>
      </c>
      <c r="S1195" s="10">
        <f>IF(N1195&gt;0,TODAY()-N1195,"")</f>
        <v>314</v>
      </c>
    </row>
    <row r="1196" ht="17" customHeight="1" spans="1:19" x14ac:dyDescent="0.25">
      <c r="A1196" s="11" t="s">
        <v>1934</v>
      </c>
      <c r="B1196" s="11" t="s">
        <v>1935</v>
      </c>
      <c r="C1196" s="11" t="s">
        <v>2407</v>
      </c>
      <c r="D1196" s="11" t="s">
        <v>2408</v>
      </c>
      <c r="E1196" s="12">
        <v>1</v>
      </c>
      <c r="F1196" s="13">
        <v>1784.18</v>
      </c>
      <c r="G1196" s="14">
        <v>45805</v>
      </c>
      <c r="H1196" s="13">
        <v>1784.18</v>
      </c>
      <c r="I1196" s="15" t="s">
        <v>24</v>
      </c>
      <c r="J1196" s="13"/>
      <c r="K1196" s="16" t="str">
        <f>IF(AND(H1196&gt;0,J1196&gt;0),(J1196-H1196)/H1196,"")</f>
        <v/>
      </c>
      <c r="L1196" s="13"/>
      <c r="M1196" s="16" t="str">
        <f>IF(AND(J1196&gt;0,L1196&gt;0),(L1196-J1196)/J1196,IF(AND(H1196&gt;0,L1196&gt;0),(L1196-H1196)/H1196,""))</f>
        <v/>
      </c>
      <c r="N1196" s="14">
        <v>45805</v>
      </c>
      <c r="O1196" s="13">
        <v>1784.18</v>
      </c>
      <c r="P1196" s="16" t="str">
        <f>IF(AND(L1196&gt;0,O1196&gt;0),(O1196-L1196)/L1196,"")</f>
        <v/>
      </c>
      <c r="Q1196" s="18"/>
      <c r="R1196" s="18">
        <v>1</v>
      </c>
      <c r="S1196" s="10">
        <f>IF(N1196&gt;0,TODAY()-N1196,"")</f>
        <v>306</v>
      </c>
    </row>
    <row r="1197" ht="17" customHeight="1" spans="1:19" x14ac:dyDescent="0.25">
      <c r="A1197" s="3" t="s">
        <v>1934</v>
      </c>
      <c r="B1197" s="3" t="s">
        <v>1935</v>
      </c>
      <c r="C1197" s="3" t="s">
        <v>2409</v>
      </c>
      <c r="D1197" s="3" t="s">
        <v>2410</v>
      </c>
      <c r="E1197" s="4">
        <v>12</v>
      </c>
      <c r="F1197" s="5">
        <v>1739.455</v>
      </c>
      <c r="G1197" s="6">
        <v>45722</v>
      </c>
      <c r="H1197" s="5">
        <v>1635.27</v>
      </c>
      <c r="I1197" s="7" t="s">
        <v>24</v>
      </c>
      <c r="J1197" s="5"/>
      <c r="K1197" s="8" t="str">
        <f>IF(AND(H1197&gt;0,J1197&gt;0),(J1197-H1197)/H1197,"")</f>
        <v/>
      </c>
      <c r="L1197" s="5"/>
      <c r="M1197" s="8" t="str">
        <f>IF(AND(J1197&gt;0,L1197&gt;0),(L1197-J1197)/J1197,IF(AND(H1197&gt;0,L1197&gt;0),(L1197-H1197)/H1197,""))</f>
        <v/>
      </c>
      <c r="N1197" s="6">
        <v>45909</v>
      </c>
      <c r="O1197" s="5">
        <v>1843.64</v>
      </c>
      <c r="P1197" s="8" t="str">
        <f>IF(AND(L1197&gt;0,O1197&gt;0),(O1197-L1197)/L1197,"")</f>
        <v/>
      </c>
      <c r="Q1197" s="9">
        <v>187</v>
      </c>
      <c r="R1197" s="9">
        <v>2</v>
      </c>
      <c r="S1197" s="10">
        <f>IF(N1197&gt;0,TODAY()-N1197,"")</f>
        <v>202</v>
      </c>
    </row>
    <row r="1198" ht="17" customHeight="1" spans="1:19" x14ac:dyDescent="0.25">
      <c r="A1198" s="11" t="s">
        <v>1934</v>
      </c>
      <c r="B1198" s="11" t="s">
        <v>1935</v>
      </c>
      <c r="C1198" s="11" t="s">
        <v>2411</v>
      </c>
      <c r="D1198" s="11" t="s">
        <v>2412</v>
      </c>
      <c r="E1198" s="12">
        <v>6</v>
      </c>
      <c r="F1198" s="13">
        <v>1962.55</v>
      </c>
      <c r="G1198" s="14">
        <v>45797</v>
      </c>
      <c r="H1198" s="13">
        <v>1962.55</v>
      </c>
      <c r="I1198" s="15" t="s">
        <v>24</v>
      </c>
      <c r="J1198" s="13"/>
      <c r="K1198" s="16" t="str">
        <f>IF(AND(H1198&gt;0,J1198&gt;0),(J1198-H1198)/H1198,"")</f>
        <v/>
      </c>
      <c r="L1198" s="13"/>
      <c r="M1198" s="16" t="str">
        <f>IF(AND(J1198&gt;0,L1198&gt;0),(L1198-J1198)/J1198,IF(AND(H1198&gt;0,L1198&gt;0),(L1198-H1198)/H1198,""))</f>
        <v/>
      </c>
      <c r="N1198" s="14">
        <v>45797</v>
      </c>
      <c r="O1198" s="13">
        <v>1962.55</v>
      </c>
      <c r="P1198" s="16" t="str">
        <f>IF(AND(L1198&gt;0,O1198&gt;0),(O1198-L1198)/L1198,"")</f>
        <v/>
      </c>
      <c r="Q1198" s="18"/>
      <c r="R1198" s="18">
        <v>1</v>
      </c>
      <c r="S1198" s="10">
        <f>IF(N1198&gt;0,TODAY()-N1198,"")</f>
        <v>314</v>
      </c>
    </row>
    <row r="1199" ht="17" customHeight="1" spans="1:19" x14ac:dyDescent="0.25">
      <c r="A1199" s="3" t="s">
        <v>1934</v>
      </c>
      <c r="B1199" s="3" t="s">
        <v>1935</v>
      </c>
      <c r="C1199" s="3" t="s">
        <v>2413</v>
      </c>
      <c r="D1199" s="3" t="s">
        <v>2414</v>
      </c>
      <c r="E1199" s="4">
        <v>20</v>
      </c>
      <c r="F1199" s="5">
        <v>2730.6520000000005</v>
      </c>
      <c r="G1199" s="6">
        <v>45722</v>
      </c>
      <c r="H1199" s="5">
        <v>2547.82</v>
      </c>
      <c r="I1199" s="7" t="s">
        <v>57</v>
      </c>
      <c r="J1199" s="5">
        <v>2776.36</v>
      </c>
      <c r="K1199" s="24">
        <f>IF(AND(H1199&gt;0,J1199&gt;0),(J1199-H1199)/H1199,"")</f>
        <v>0.08970021430085326</v>
      </c>
      <c r="L1199" s="5"/>
      <c r="M1199" s="8" t="str">
        <f>IF(AND(J1199&gt;0,L1199&gt;0),(L1199-J1199)/J1199,IF(AND(H1199&gt;0,L1199&gt;0),(L1199-H1199)/H1199,""))</f>
        <v/>
      </c>
      <c r="N1199" s="6">
        <v>45938</v>
      </c>
      <c r="O1199" s="5">
        <v>2776.36</v>
      </c>
      <c r="P1199" s="8" t="str">
        <f>IF(AND(L1199&gt;0,O1199&gt;0),(O1199-L1199)/L1199,"")</f>
        <v/>
      </c>
      <c r="Q1199" s="9">
        <v>72</v>
      </c>
      <c r="R1199" s="9">
        <v>4</v>
      </c>
      <c r="S1199" s="21">
        <f>IF(N1199&gt;0,TODAY()-N1199,"")</f>
        <v>173</v>
      </c>
    </row>
    <row r="1200" ht="17" customHeight="1" spans="1:19" x14ac:dyDescent="0.25">
      <c r="A1200" s="11" t="s">
        <v>1934</v>
      </c>
      <c r="B1200" s="11" t="s">
        <v>1935</v>
      </c>
      <c r="C1200" s="11" t="s">
        <v>2415</v>
      </c>
      <c r="D1200" s="11" t="s">
        <v>2416</v>
      </c>
      <c r="E1200" s="12">
        <v>10</v>
      </c>
      <c r="F1200" s="13">
        <v>495.6</v>
      </c>
      <c r="G1200" s="14">
        <v>45722</v>
      </c>
      <c r="H1200" s="13">
        <v>481</v>
      </c>
      <c r="I1200" s="15" t="s">
        <v>24</v>
      </c>
      <c r="J1200" s="13"/>
      <c r="K1200" s="16" t="str">
        <f>IF(AND(H1200&gt;0,J1200&gt;0),(J1200-H1200)/H1200,"")</f>
        <v/>
      </c>
      <c r="L1200" s="13"/>
      <c r="M1200" s="16" t="str">
        <f>IF(AND(J1200&gt;0,L1200&gt;0),(L1200-J1200)/J1200,IF(AND(H1200&gt;0,L1200&gt;0),(L1200-H1200)/H1200,""))</f>
        <v/>
      </c>
      <c r="N1200" s="14">
        <v>45924</v>
      </c>
      <c r="O1200" s="13">
        <v>517.5</v>
      </c>
      <c r="P1200" s="16" t="str">
        <f>IF(AND(L1200&gt;0,O1200&gt;0),(O1200-L1200)/L1200,"")</f>
        <v/>
      </c>
      <c r="Q1200" s="18">
        <v>101</v>
      </c>
      <c r="R1200" s="18">
        <v>3</v>
      </c>
      <c r="S1200" s="10">
        <f>IF(N1200&gt;0,TODAY()-N1200,"")</f>
        <v>187</v>
      </c>
    </row>
    <row r="1201" ht="17" customHeight="1" spans="1:19" x14ac:dyDescent="0.25">
      <c r="A1201" s="3" t="s">
        <v>1934</v>
      </c>
      <c r="B1201" s="3" t="s">
        <v>1935</v>
      </c>
      <c r="C1201" s="3" t="s">
        <v>2417</v>
      </c>
      <c r="D1201" s="3" t="s">
        <v>2418</v>
      </c>
      <c r="E1201" s="4">
        <v>81</v>
      </c>
      <c r="F1201" s="5">
        <v>267.4382716049383</v>
      </c>
      <c r="G1201" s="6">
        <v>45687</v>
      </c>
      <c r="H1201" s="5">
        <v>262.5</v>
      </c>
      <c r="I1201" s="7" t="s">
        <v>57</v>
      </c>
      <c r="J1201" s="5">
        <v>272.5</v>
      </c>
      <c r="K1201" s="24">
        <f>IF(AND(H1201&gt;0,J1201&gt;0),(J1201-H1201)/H1201,"")</f>
        <v>0.0380952380952381</v>
      </c>
      <c r="L1201" s="5"/>
      <c r="M1201" s="8" t="str">
        <f>IF(AND(J1201&gt;0,L1201&gt;0),(L1201-J1201)/J1201,IF(AND(H1201&gt;0,L1201&gt;0),(L1201-H1201)/H1201,""))</f>
        <v/>
      </c>
      <c r="N1201" s="6">
        <v>45938</v>
      </c>
      <c r="O1201" s="5">
        <v>272.5</v>
      </c>
      <c r="P1201" s="8" t="str">
        <f>IF(AND(L1201&gt;0,O1201&gt;0),(O1201-L1201)/L1201,"")</f>
        <v/>
      </c>
      <c r="Q1201" s="9">
        <v>63</v>
      </c>
      <c r="R1201" s="9">
        <v>5</v>
      </c>
      <c r="S1201" s="21">
        <f>IF(N1201&gt;0,TODAY()-N1201,"")</f>
        <v>173</v>
      </c>
    </row>
    <row r="1202" ht="17" customHeight="1" spans="1:19" x14ac:dyDescent="0.25">
      <c r="A1202" s="11" t="s">
        <v>1934</v>
      </c>
      <c r="B1202" s="11" t="s">
        <v>1935</v>
      </c>
      <c r="C1202" s="11" t="s">
        <v>2419</v>
      </c>
      <c r="D1202" s="11" t="s">
        <v>2420</v>
      </c>
      <c r="E1202" s="12">
        <v>41</v>
      </c>
      <c r="F1202" s="13">
        <v>912</v>
      </c>
      <c r="G1202" s="14">
        <v>45880</v>
      </c>
      <c r="H1202" s="13">
        <v>912</v>
      </c>
      <c r="I1202" s="15" t="s">
        <v>57</v>
      </c>
      <c r="J1202" s="13">
        <v>912</v>
      </c>
      <c r="K1202" s="17">
        <f>IF(AND(H1202&gt;0,J1202&gt;0),(J1202-H1202)/H1202,"")</f>
        <v>0</v>
      </c>
      <c r="L1202" s="13"/>
      <c r="M1202" s="16" t="str">
        <f>IF(AND(J1202&gt;0,L1202&gt;0),(L1202-J1202)/J1202,IF(AND(H1202&gt;0,L1202&gt;0),(L1202-H1202)/H1202,""))</f>
        <v/>
      </c>
      <c r="N1202" s="14">
        <v>45954</v>
      </c>
      <c r="O1202" s="13">
        <v>912</v>
      </c>
      <c r="P1202" s="16" t="str">
        <f>IF(AND(L1202&gt;0,O1202&gt;0),(O1202-L1202)/L1202,"")</f>
        <v/>
      </c>
      <c r="Q1202" s="18">
        <v>25</v>
      </c>
      <c r="R1202" s="18">
        <v>4</v>
      </c>
      <c r="S1202" s="21">
        <f>IF(N1202&gt;0,TODAY()-N1202,"")</f>
        <v>157</v>
      </c>
    </row>
    <row r="1203" ht="17" customHeight="1" spans="1:19" x14ac:dyDescent="0.25">
      <c r="A1203" s="3" t="s">
        <v>1934</v>
      </c>
      <c r="B1203" s="3" t="s">
        <v>1935</v>
      </c>
      <c r="C1203" s="3" t="s">
        <v>2421</v>
      </c>
      <c r="D1203" s="3" t="s">
        <v>2422</v>
      </c>
      <c r="E1203" s="4">
        <v>17</v>
      </c>
      <c r="F1203" s="5">
        <v>912</v>
      </c>
      <c r="G1203" s="6">
        <v>45880</v>
      </c>
      <c r="H1203" s="5">
        <v>912</v>
      </c>
      <c r="I1203" s="7" t="s">
        <v>24</v>
      </c>
      <c r="J1203" s="5"/>
      <c r="K1203" s="8" t="str">
        <f>IF(AND(H1203&gt;0,J1203&gt;0),(J1203-H1203)/H1203,"")</f>
        <v/>
      </c>
      <c r="L1203" s="5"/>
      <c r="M1203" s="8" t="str">
        <f>IF(AND(J1203&gt;0,L1203&gt;0),(L1203-J1203)/J1203,IF(AND(H1203&gt;0,L1203&gt;0),(L1203-H1203)/H1203,""))</f>
        <v/>
      </c>
      <c r="N1203" s="6">
        <v>45919</v>
      </c>
      <c r="O1203" s="5">
        <v>912</v>
      </c>
      <c r="P1203" s="8" t="str">
        <f>IF(AND(L1203&gt;0,O1203&gt;0),(O1203-L1203)/L1203,"")</f>
        <v/>
      </c>
      <c r="Q1203" s="9">
        <v>39</v>
      </c>
      <c r="R1203" s="9">
        <v>2</v>
      </c>
      <c r="S1203" s="10">
        <f>IF(N1203&gt;0,TODAY()-N1203,"")</f>
        <v>192</v>
      </c>
    </row>
    <row r="1204" ht="17" customHeight="1" spans="1:19" x14ac:dyDescent="0.25">
      <c r="A1204" s="11" t="s">
        <v>1934</v>
      </c>
      <c r="B1204" s="11" t="s">
        <v>1935</v>
      </c>
      <c r="C1204" s="11" t="s">
        <v>2423</v>
      </c>
      <c r="D1204" s="11" t="s">
        <v>2424</v>
      </c>
      <c r="E1204" s="12">
        <v>1</v>
      </c>
      <c r="F1204" s="13">
        <v>900</v>
      </c>
      <c r="G1204" s="14">
        <v>45713</v>
      </c>
      <c r="H1204" s="13">
        <v>487.5</v>
      </c>
      <c r="I1204" s="15" t="s">
        <v>24</v>
      </c>
      <c r="J1204" s="13"/>
      <c r="K1204" s="16" t="str">
        <f>IF(AND(H1204&gt;0,J1204&gt;0),(J1204-H1204)/H1204,"")</f>
        <v/>
      </c>
      <c r="L1204" s="13"/>
      <c r="M1204" s="16" t="str">
        <f>IF(AND(J1204&gt;0,L1204&gt;0),(L1204-J1204)/J1204,IF(AND(H1204&gt;0,L1204&gt;0),(L1204-H1204)/H1204,""))</f>
        <v/>
      </c>
      <c r="N1204" s="14">
        <v>45713</v>
      </c>
      <c r="O1204" s="13">
        <v>487.5</v>
      </c>
      <c r="P1204" s="16" t="str">
        <f>IF(AND(L1204&gt;0,O1204&gt;0),(O1204-L1204)/L1204,"")</f>
        <v/>
      </c>
      <c r="Q1204" s="18"/>
      <c r="R1204" s="18">
        <v>1</v>
      </c>
      <c r="S1204" s="10">
        <f>IF(N1204&gt;0,TODAY()-N1204,"")</f>
        <v>398</v>
      </c>
    </row>
    <row r="1205" ht="17" customHeight="1" spans="1:19" x14ac:dyDescent="0.25">
      <c r="A1205" s="3" t="s">
        <v>1934</v>
      </c>
      <c r="B1205" s="3" t="s">
        <v>1935</v>
      </c>
      <c r="C1205" s="3" t="s">
        <v>2425</v>
      </c>
      <c r="D1205" s="3" t="s">
        <v>2426</v>
      </c>
      <c r="E1205" s="4">
        <v>5</v>
      </c>
      <c r="F1205" s="5">
        <v>1500</v>
      </c>
      <c r="G1205" s="6">
        <v>45845</v>
      </c>
      <c r="H1205" s="5">
        <v>886.36</v>
      </c>
      <c r="I1205" s="7" t="s">
        <v>24</v>
      </c>
      <c r="J1205" s="5"/>
      <c r="K1205" s="8" t="str">
        <f>IF(AND(H1205&gt;0,J1205&gt;0),(J1205-H1205)/H1205,"")</f>
        <v/>
      </c>
      <c r="L1205" s="5"/>
      <c r="M1205" s="8" t="str">
        <f>IF(AND(J1205&gt;0,L1205&gt;0),(L1205-J1205)/J1205,IF(AND(H1205&gt;0,L1205&gt;0),(L1205-H1205)/H1205,""))</f>
        <v/>
      </c>
      <c r="N1205" s="6">
        <v>45845</v>
      </c>
      <c r="O1205" s="5">
        <v>886.36</v>
      </c>
      <c r="P1205" s="8" t="str">
        <f>IF(AND(L1205&gt;0,O1205&gt;0),(O1205-L1205)/L1205,"")</f>
        <v/>
      </c>
      <c r="Q1205" s="9"/>
      <c r="R1205" s="9">
        <v>1</v>
      </c>
      <c r="S1205" s="10">
        <f>IF(N1205&gt;0,TODAY()-N1205,"")</f>
        <v>266</v>
      </c>
    </row>
    <row r="1206" ht="17" customHeight="1" spans="1:19" x14ac:dyDescent="0.25">
      <c r="A1206" s="11" t="s">
        <v>1934</v>
      </c>
      <c r="B1206" s="11" t="s">
        <v>1935</v>
      </c>
      <c r="C1206" s="11" t="s">
        <v>2427</v>
      </c>
      <c r="D1206" s="11" t="s">
        <v>2428</v>
      </c>
      <c r="E1206" s="12">
        <v>21</v>
      </c>
      <c r="F1206" s="13">
        <v>857.1428571428571</v>
      </c>
      <c r="G1206" s="14">
        <v>45754</v>
      </c>
      <c r="H1206" s="13">
        <v>433.33</v>
      </c>
      <c r="I1206" s="15" t="s">
        <v>24</v>
      </c>
      <c r="J1206" s="13"/>
      <c r="K1206" s="16" t="str">
        <f>IF(AND(H1206&gt;0,J1206&gt;0),(J1206-H1206)/H1206,"")</f>
        <v/>
      </c>
      <c r="L1206" s="13"/>
      <c r="M1206" s="16" t="str">
        <f>IF(AND(J1206&gt;0,L1206&gt;0),(L1206-J1206)/J1206,IF(AND(H1206&gt;0,L1206&gt;0),(L1206-H1206)/H1206,""))</f>
        <v/>
      </c>
      <c r="N1206" s="14">
        <v>45845</v>
      </c>
      <c r="O1206" s="13">
        <v>541.67</v>
      </c>
      <c r="P1206" s="16" t="str">
        <f>IF(AND(L1206&gt;0,O1206&gt;0),(O1206-L1206)/L1206,"")</f>
        <v/>
      </c>
      <c r="Q1206" s="18">
        <v>15</v>
      </c>
      <c r="R1206" s="18">
        <v>7</v>
      </c>
      <c r="S1206" s="10">
        <f>IF(N1206&gt;0,TODAY()-N1206,"")</f>
        <v>266</v>
      </c>
    </row>
    <row r="1207" ht="17" customHeight="1" spans="1:19" x14ac:dyDescent="0.25">
      <c r="A1207" s="3" t="s">
        <v>1934</v>
      </c>
      <c r="B1207" s="3" t="s">
        <v>1935</v>
      </c>
      <c r="C1207" s="3" t="s">
        <v>2429</v>
      </c>
      <c r="D1207" s="3" t="s">
        <v>2430</v>
      </c>
      <c r="E1207" s="4">
        <v>1</v>
      </c>
      <c r="F1207" s="5">
        <v>107.5</v>
      </c>
      <c r="G1207" s="6">
        <v>45684</v>
      </c>
      <c r="H1207" s="5">
        <v>107.5</v>
      </c>
      <c r="I1207" s="7" t="s">
        <v>24</v>
      </c>
      <c r="J1207" s="5"/>
      <c r="K1207" s="8" t="str">
        <f>IF(AND(H1207&gt;0,J1207&gt;0),(J1207-H1207)/H1207,"")</f>
        <v/>
      </c>
      <c r="L1207" s="5"/>
      <c r="M1207" s="8" t="str">
        <f>IF(AND(J1207&gt;0,L1207&gt;0),(L1207-J1207)/J1207,IF(AND(H1207&gt;0,L1207&gt;0),(L1207-H1207)/H1207,""))</f>
        <v/>
      </c>
      <c r="N1207" s="6">
        <v>45684</v>
      </c>
      <c r="O1207" s="5">
        <v>107.5</v>
      </c>
      <c r="P1207" s="8" t="str">
        <f>IF(AND(L1207&gt;0,O1207&gt;0),(O1207-L1207)/L1207,"")</f>
        <v/>
      </c>
      <c r="Q1207" s="9"/>
      <c r="R1207" s="9">
        <v>1</v>
      </c>
      <c r="S1207" s="10">
        <f>IF(N1207&gt;0,TODAY()-N1207,"")</f>
        <v>427</v>
      </c>
    </row>
    <row r="1208" ht="17" customHeight="1" spans="1:19" x14ac:dyDescent="0.25">
      <c r="A1208" s="11" t="s">
        <v>1934</v>
      </c>
      <c r="B1208" s="11" t="s">
        <v>1935</v>
      </c>
      <c r="C1208" s="11" t="s">
        <v>2431</v>
      </c>
      <c r="D1208" s="11" t="s">
        <v>2432</v>
      </c>
      <c r="E1208" s="12">
        <v>3</v>
      </c>
      <c r="F1208" s="13">
        <v>750</v>
      </c>
      <c r="G1208" s="14">
        <v>45868</v>
      </c>
      <c r="H1208" s="13">
        <v>750</v>
      </c>
      <c r="I1208" s="15" t="s">
        <v>24</v>
      </c>
      <c r="J1208" s="13"/>
      <c r="K1208" s="16" t="str">
        <f>IF(AND(H1208&gt;0,J1208&gt;0),(J1208-H1208)/H1208,"")</f>
        <v/>
      </c>
      <c r="L1208" s="13"/>
      <c r="M1208" s="16" t="str">
        <f>IF(AND(J1208&gt;0,L1208&gt;0),(L1208-J1208)/J1208,IF(AND(H1208&gt;0,L1208&gt;0),(L1208-H1208)/H1208,""))</f>
        <v/>
      </c>
      <c r="N1208" s="14">
        <v>45868</v>
      </c>
      <c r="O1208" s="13">
        <v>750</v>
      </c>
      <c r="P1208" s="16" t="str">
        <f>IF(AND(L1208&gt;0,O1208&gt;0),(O1208-L1208)/L1208,"")</f>
        <v/>
      </c>
      <c r="Q1208" s="18"/>
      <c r="R1208" s="18">
        <v>1</v>
      </c>
      <c r="S1208" s="10">
        <f>IF(N1208&gt;0,TODAY()-N1208,"")</f>
        <v>243</v>
      </c>
    </row>
    <row r="1209" ht="17" customHeight="1" spans="1:19" x14ac:dyDescent="0.25">
      <c r="A1209" s="3" t="s">
        <v>1934</v>
      </c>
      <c r="B1209" s="3" t="s">
        <v>1935</v>
      </c>
      <c r="C1209" s="3" t="s">
        <v>2433</v>
      </c>
      <c r="D1209" s="3" t="s">
        <v>2434</v>
      </c>
      <c r="E1209" s="4">
        <v>2</v>
      </c>
      <c r="F1209" s="5">
        <v>401.5</v>
      </c>
      <c r="G1209" s="6">
        <v>45687</v>
      </c>
      <c r="H1209" s="5">
        <v>390</v>
      </c>
      <c r="I1209" s="7" t="s">
        <v>24</v>
      </c>
      <c r="J1209" s="5"/>
      <c r="K1209" s="8" t="str">
        <f>IF(AND(H1209&gt;0,J1209&gt;0),(J1209-H1209)/H1209,"")</f>
        <v/>
      </c>
      <c r="L1209" s="5"/>
      <c r="M1209" s="8" t="str">
        <f>IF(AND(J1209&gt;0,L1209&gt;0),(L1209-J1209)/J1209,IF(AND(H1209&gt;0,L1209&gt;0),(L1209-H1209)/H1209,""))</f>
        <v/>
      </c>
      <c r="N1209" s="6">
        <v>45909</v>
      </c>
      <c r="O1209" s="5">
        <v>413</v>
      </c>
      <c r="P1209" s="8" t="str">
        <f>IF(AND(L1209&gt;0,O1209&gt;0),(O1209-L1209)/L1209,"")</f>
        <v/>
      </c>
      <c r="Q1209" s="9">
        <v>222</v>
      </c>
      <c r="R1209" s="9">
        <v>2</v>
      </c>
      <c r="S1209" s="10">
        <f>IF(N1209&gt;0,TODAY()-N1209,"")</f>
        <v>202</v>
      </c>
    </row>
    <row r="1210" ht="17" customHeight="1" spans="1:19" x14ac:dyDescent="0.25">
      <c r="A1210" s="11" t="s">
        <v>1934</v>
      </c>
      <c r="B1210" s="11" t="s">
        <v>1935</v>
      </c>
      <c r="C1210" s="11" t="s">
        <v>2435</v>
      </c>
      <c r="D1210" s="11" t="s">
        <v>2436</v>
      </c>
      <c r="E1210" s="12">
        <v>6</v>
      </c>
      <c r="F1210" s="13">
        <v>218.18166666666664</v>
      </c>
      <c r="G1210" s="14">
        <v>45833</v>
      </c>
      <c r="H1210" s="13">
        <v>218.18</v>
      </c>
      <c r="I1210" s="15" t="s">
        <v>24</v>
      </c>
      <c r="J1210" s="13"/>
      <c r="K1210" s="16" t="str">
        <f>IF(AND(H1210&gt;0,J1210&gt;0),(J1210-H1210)/H1210,"")</f>
        <v/>
      </c>
      <c r="L1210" s="13"/>
      <c r="M1210" s="16" t="str">
        <f>IF(AND(J1210&gt;0,L1210&gt;0),(L1210-J1210)/J1210,IF(AND(H1210&gt;0,L1210&gt;0),(L1210-H1210)/H1210,""))</f>
        <v/>
      </c>
      <c r="N1210" s="14">
        <v>45833</v>
      </c>
      <c r="O1210" s="13">
        <v>218.18</v>
      </c>
      <c r="P1210" s="16" t="str">
        <f>IF(AND(L1210&gt;0,O1210&gt;0),(O1210-L1210)/L1210,"")</f>
        <v/>
      </c>
      <c r="Q1210" s="18"/>
      <c r="R1210" s="18">
        <v>1</v>
      </c>
      <c r="S1210" s="10">
        <f>IF(N1210&gt;0,TODAY()-N1210,"")</f>
        <v>278</v>
      </c>
    </row>
    <row r="1211" ht="17" customHeight="1" spans="1:19" x14ac:dyDescent="0.25">
      <c r="A1211" s="3" t="s">
        <v>1934</v>
      </c>
      <c r="B1211" s="3" t="s">
        <v>1935</v>
      </c>
      <c r="C1211" s="3" t="s">
        <v>2437</v>
      </c>
      <c r="D1211" s="3" t="s">
        <v>2438</v>
      </c>
      <c r="E1211" s="4">
        <v>10</v>
      </c>
      <c r="F1211" s="5">
        <v>218.18200000000002</v>
      </c>
      <c r="G1211" s="6">
        <v>45833</v>
      </c>
      <c r="H1211" s="5">
        <v>218.18</v>
      </c>
      <c r="I1211" s="7" t="s">
        <v>24</v>
      </c>
      <c r="J1211" s="5"/>
      <c r="K1211" s="8" t="str">
        <f>IF(AND(H1211&gt;0,J1211&gt;0),(J1211-H1211)/H1211,"")</f>
        <v/>
      </c>
      <c r="L1211" s="5"/>
      <c r="M1211" s="8" t="str">
        <f>IF(AND(J1211&gt;0,L1211&gt;0),(L1211-J1211)/J1211,IF(AND(H1211&gt;0,L1211&gt;0),(L1211-H1211)/H1211,""))</f>
        <v/>
      </c>
      <c r="N1211" s="6">
        <v>45833</v>
      </c>
      <c r="O1211" s="5">
        <v>218.18</v>
      </c>
      <c r="P1211" s="8" t="str">
        <f>IF(AND(L1211&gt;0,O1211&gt;0),(O1211-L1211)/L1211,"")</f>
        <v/>
      </c>
      <c r="Q1211" s="9"/>
      <c r="R1211" s="9">
        <v>1</v>
      </c>
      <c r="S1211" s="10">
        <f>IF(N1211&gt;0,TODAY()-N1211,"")</f>
        <v>278</v>
      </c>
    </row>
    <row r="1212" ht="17" customHeight="1" spans="1:19" x14ac:dyDescent="0.25">
      <c r="A1212" s="11" t="s">
        <v>1934</v>
      </c>
      <c r="B1212" s="11" t="s">
        <v>1935</v>
      </c>
      <c r="C1212" s="11" t="s">
        <v>2439</v>
      </c>
      <c r="D1212" s="11" t="s">
        <v>2440</v>
      </c>
      <c r="E1212" s="12">
        <v>24</v>
      </c>
      <c r="F1212" s="13">
        <v>148</v>
      </c>
      <c r="G1212" s="14">
        <v>45818</v>
      </c>
      <c r="H1212" s="13">
        <v>148</v>
      </c>
      <c r="I1212" s="15" t="s">
        <v>24</v>
      </c>
      <c r="J1212" s="13"/>
      <c r="K1212" s="16" t="str">
        <f>IF(AND(H1212&gt;0,J1212&gt;0),(J1212-H1212)/H1212,"")</f>
        <v/>
      </c>
      <c r="L1212" s="13"/>
      <c r="M1212" s="16" t="str">
        <f>IF(AND(J1212&gt;0,L1212&gt;0),(L1212-J1212)/J1212,IF(AND(H1212&gt;0,L1212&gt;0),(L1212-H1212)/H1212,""))</f>
        <v/>
      </c>
      <c r="N1212" s="14">
        <v>45818</v>
      </c>
      <c r="O1212" s="13">
        <v>148</v>
      </c>
      <c r="P1212" s="16" t="str">
        <f>IF(AND(L1212&gt;0,O1212&gt;0),(O1212-L1212)/L1212,"")</f>
        <v/>
      </c>
      <c r="Q1212" s="18"/>
      <c r="R1212" s="18">
        <v>1</v>
      </c>
      <c r="S1212" s="10">
        <f>IF(N1212&gt;0,TODAY()-N1212,"")</f>
        <v>293</v>
      </c>
    </row>
    <row r="1213" ht="17" customHeight="1" spans="1:19" x14ac:dyDescent="0.25">
      <c r="A1213" s="3" t="s">
        <v>1934</v>
      </c>
      <c r="B1213" s="3" t="s">
        <v>1935</v>
      </c>
      <c r="C1213" s="3" t="s">
        <v>2441</v>
      </c>
      <c r="D1213" s="3" t="s">
        <v>2442</v>
      </c>
      <c r="E1213" s="4">
        <v>10</v>
      </c>
      <c r="F1213" s="5">
        <v>218.18200000000002</v>
      </c>
      <c r="G1213" s="6">
        <v>45833</v>
      </c>
      <c r="H1213" s="5">
        <v>218.18</v>
      </c>
      <c r="I1213" s="7" t="s">
        <v>24</v>
      </c>
      <c r="J1213" s="5"/>
      <c r="K1213" s="8" t="str">
        <f>IF(AND(H1213&gt;0,J1213&gt;0),(J1213-H1213)/H1213,"")</f>
        <v/>
      </c>
      <c r="L1213" s="5"/>
      <c r="M1213" s="8" t="str">
        <f>IF(AND(J1213&gt;0,L1213&gt;0),(L1213-J1213)/J1213,IF(AND(H1213&gt;0,L1213&gt;0),(L1213-H1213)/H1213,""))</f>
        <v/>
      </c>
      <c r="N1213" s="6">
        <v>45833</v>
      </c>
      <c r="O1213" s="5">
        <v>218.18</v>
      </c>
      <c r="P1213" s="8" t="str">
        <f>IF(AND(L1213&gt;0,O1213&gt;0),(O1213-L1213)/L1213,"")</f>
        <v/>
      </c>
      <c r="Q1213" s="9"/>
      <c r="R1213" s="9">
        <v>1</v>
      </c>
      <c r="S1213" s="10">
        <f>IF(N1213&gt;0,TODAY()-N1213,"")</f>
        <v>278</v>
      </c>
    </row>
    <row r="1214" ht="17" customHeight="1" spans="1:19" x14ac:dyDescent="0.25">
      <c r="A1214" s="11" t="s">
        <v>1934</v>
      </c>
      <c r="B1214" s="11" t="s">
        <v>1935</v>
      </c>
      <c r="C1214" s="11" t="s">
        <v>2443</v>
      </c>
      <c r="D1214" s="11" t="s">
        <v>2444</v>
      </c>
      <c r="E1214" s="12">
        <v>2</v>
      </c>
      <c r="F1214" s="13">
        <v>32856.925</v>
      </c>
      <c r="G1214" s="14">
        <v>45925</v>
      </c>
      <c r="H1214" s="13">
        <v>32187.88</v>
      </c>
      <c r="I1214" s="15" t="s">
        <v>24</v>
      </c>
      <c r="J1214" s="13"/>
      <c r="K1214" s="16" t="str">
        <f>IF(AND(H1214&gt;0,J1214&gt;0),(J1214-H1214)/H1214,"")</f>
        <v/>
      </c>
      <c r="L1214" s="13">
        <v>33525.97</v>
      </c>
      <c r="M1214" s="17">
        <f>IF(AND(J1214&gt;0,L1214&gt;0),(L1214-J1214)/J1214,IF(AND(H1214&gt;0,L1214&gt;0),(L1214-H1214)/H1214,""))</f>
        <v>0.041571237372576265</v>
      </c>
      <c r="N1214" s="14">
        <v>46037</v>
      </c>
      <c r="O1214" s="13">
        <v>33525.97</v>
      </c>
      <c r="P1214" s="16" t="str">
        <f>IF(AND(L1214&gt;0,O1214&gt;0),(O1214-L1214)/L1214,"")</f>
        <v/>
      </c>
      <c r="Q1214" s="18">
        <v>112</v>
      </c>
      <c r="R1214" s="18">
        <v>2</v>
      </c>
      <c r="S1214" s="19">
        <f>IF(N1214&gt;0,TODAY()-N1214,"")</f>
        <v>74</v>
      </c>
    </row>
    <row r="1215" ht="17" customHeight="1" spans="1:19" x14ac:dyDescent="0.25">
      <c r="A1215" s="3" t="s">
        <v>1934</v>
      </c>
      <c r="B1215" s="3" t="s">
        <v>1935</v>
      </c>
      <c r="C1215" s="3" t="s">
        <v>2445</v>
      </c>
      <c r="D1215" s="3" t="s">
        <v>2446</v>
      </c>
      <c r="E1215" s="4">
        <v>2</v>
      </c>
      <c r="F1215" s="5">
        <v>2947.41</v>
      </c>
      <c r="G1215" s="6">
        <v>45978</v>
      </c>
      <c r="H1215" s="5">
        <v>2947.41</v>
      </c>
      <c r="I1215" s="7" t="s">
        <v>60</v>
      </c>
      <c r="J1215" s="5">
        <v>2947.41</v>
      </c>
      <c r="K1215" s="24">
        <f>IF(AND(H1215&gt;0,J1215&gt;0),(J1215-H1215)/H1215,"")</f>
        <v>0</v>
      </c>
      <c r="L1215" s="5"/>
      <c r="M1215" s="8" t="str">
        <f>IF(AND(J1215&gt;0,L1215&gt;0),(L1215-J1215)/J1215,IF(AND(H1215&gt;0,L1215&gt;0),(L1215-H1215)/H1215,""))</f>
        <v/>
      </c>
      <c r="N1215" s="6">
        <v>45978</v>
      </c>
      <c r="O1215" s="5">
        <v>2947.41</v>
      </c>
      <c r="P1215" s="8" t="str">
        <f>IF(AND(L1215&gt;0,O1215&gt;0),(O1215-L1215)/L1215,"")</f>
        <v/>
      </c>
      <c r="Q1215" s="9"/>
      <c r="R1215" s="9">
        <v>1</v>
      </c>
      <c r="S1215" s="21">
        <f>IF(N1215&gt;0,TODAY()-N1215,"")</f>
        <v>133</v>
      </c>
    </row>
    <row r="1216" ht="17" customHeight="1" spans="1:19" x14ac:dyDescent="0.25">
      <c r="A1216" s="11" t="s">
        <v>1934</v>
      </c>
      <c r="B1216" s="11" t="s">
        <v>1935</v>
      </c>
      <c r="C1216" s="11" t="s">
        <v>2447</v>
      </c>
      <c r="D1216" s="11" t="s">
        <v>2448</v>
      </c>
      <c r="E1216" s="12">
        <v>3</v>
      </c>
      <c r="F1216" s="13">
        <v>125</v>
      </c>
      <c r="G1216" s="14">
        <v>45713</v>
      </c>
      <c r="H1216" s="13">
        <v>67.71</v>
      </c>
      <c r="I1216" s="15" t="s">
        <v>24</v>
      </c>
      <c r="J1216" s="13"/>
      <c r="K1216" s="16" t="str">
        <f>IF(AND(H1216&gt;0,J1216&gt;0),(J1216-H1216)/H1216,"")</f>
        <v/>
      </c>
      <c r="L1216" s="13"/>
      <c r="M1216" s="16" t="str">
        <f>IF(AND(J1216&gt;0,L1216&gt;0),(L1216-J1216)/J1216,IF(AND(H1216&gt;0,L1216&gt;0),(L1216-H1216)/H1216,""))</f>
        <v/>
      </c>
      <c r="N1216" s="14">
        <v>45713</v>
      </c>
      <c r="O1216" s="13">
        <v>67.71</v>
      </c>
      <c r="P1216" s="16" t="str">
        <f>IF(AND(L1216&gt;0,O1216&gt;0),(O1216-L1216)/L1216,"")</f>
        <v/>
      </c>
      <c r="Q1216" s="18"/>
      <c r="R1216" s="18">
        <v>1</v>
      </c>
      <c r="S1216" s="10">
        <f>IF(N1216&gt;0,TODAY()-N1216,"")</f>
        <v>398</v>
      </c>
    </row>
    <row r="1217" ht="17" customHeight="1" spans="1:19" x14ac:dyDescent="0.25">
      <c r="A1217" s="3" t="s">
        <v>1934</v>
      </c>
      <c r="B1217" s="3" t="s">
        <v>1935</v>
      </c>
      <c r="C1217" s="3" t="s">
        <v>2449</v>
      </c>
      <c r="D1217" s="3" t="s">
        <v>2450</v>
      </c>
      <c r="E1217" s="4">
        <v>1</v>
      </c>
      <c r="F1217" s="5">
        <v>125</v>
      </c>
      <c r="G1217" s="6">
        <v>45824</v>
      </c>
      <c r="H1217" s="5">
        <v>67.71</v>
      </c>
      <c r="I1217" s="7" t="s">
        <v>24</v>
      </c>
      <c r="J1217" s="5"/>
      <c r="K1217" s="8" t="str">
        <f>IF(AND(H1217&gt;0,J1217&gt;0),(J1217-H1217)/H1217,"")</f>
        <v/>
      </c>
      <c r="L1217" s="5"/>
      <c r="M1217" s="8" t="str">
        <f>IF(AND(J1217&gt;0,L1217&gt;0),(L1217-J1217)/J1217,IF(AND(H1217&gt;0,L1217&gt;0),(L1217-H1217)/H1217,""))</f>
        <v/>
      </c>
      <c r="N1217" s="6">
        <v>45824</v>
      </c>
      <c r="O1217" s="5">
        <v>67.71</v>
      </c>
      <c r="P1217" s="8" t="str">
        <f>IF(AND(L1217&gt;0,O1217&gt;0),(O1217-L1217)/L1217,"")</f>
        <v/>
      </c>
      <c r="Q1217" s="9"/>
      <c r="R1217" s="9">
        <v>1</v>
      </c>
      <c r="S1217" s="10">
        <f>IF(N1217&gt;0,TODAY()-N1217,"")</f>
        <v>287</v>
      </c>
    </row>
    <row r="1218" ht="17" customHeight="1" spans="1:19" x14ac:dyDescent="0.25">
      <c r="A1218" s="11" t="s">
        <v>1934</v>
      </c>
      <c r="B1218" s="11" t="s">
        <v>1935</v>
      </c>
      <c r="C1218" s="11" t="s">
        <v>2451</v>
      </c>
      <c r="D1218" s="11" t="s">
        <v>2452</v>
      </c>
      <c r="E1218" s="12">
        <v>1</v>
      </c>
      <c r="F1218" s="13">
        <v>125</v>
      </c>
      <c r="G1218" s="14">
        <v>45742</v>
      </c>
      <c r="H1218" s="13">
        <v>67.71</v>
      </c>
      <c r="I1218" s="15" t="s">
        <v>24</v>
      </c>
      <c r="J1218" s="13"/>
      <c r="K1218" s="16" t="str">
        <f>IF(AND(H1218&gt;0,J1218&gt;0),(J1218-H1218)/H1218,"")</f>
        <v/>
      </c>
      <c r="L1218" s="13"/>
      <c r="M1218" s="16" t="str">
        <f>IF(AND(J1218&gt;0,L1218&gt;0),(L1218-J1218)/J1218,IF(AND(H1218&gt;0,L1218&gt;0),(L1218-H1218)/H1218,""))</f>
        <v/>
      </c>
      <c r="N1218" s="14">
        <v>45742</v>
      </c>
      <c r="O1218" s="13">
        <v>67.71</v>
      </c>
      <c r="P1218" s="16" t="str">
        <f>IF(AND(L1218&gt;0,O1218&gt;0),(O1218-L1218)/L1218,"")</f>
        <v/>
      </c>
      <c r="Q1218" s="18"/>
      <c r="R1218" s="18">
        <v>1</v>
      </c>
      <c r="S1218" s="10">
        <f>IF(N1218&gt;0,TODAY()-N1218,"")</f>
        <v>369</v>
      </c>
    </row>
    <row r="1219" ht="17" customHeight="1" spans="1:19" x14ac:dyDescent="0.25">
      <c r="A1219" s="3" t="s">
        <v>1934</v>
      </c>
      <c r="B1219" s="3" t="s">
        <v>1935</v>
      </c>
      <c r="C1219" s="3" t="s">
        <v>2453</v>
      </c>
      <c r="D1219" s="3" t="s">
        <v>2454</v>
      </c>
      <c r="E1219" s="4">
        <v>4</v>
      </c>
      <c r="F1219" s="5">
        <v>400</v>
      </c>
      <c r="G1219" s="6">
        <v>45684</v>
      </c>
      <c r="H1219" s="5">
        <v>400</v>
      </c>
      <c r="I1219" s="7" t="s">
        <v>24</v>
      </c>
      <c r="J1219" s="5"/>
      <c r="K1219" s="8" t="str">
        <f>IF(AND(H1219&gt;0,J1219&gt;0),(J1219-H1219)/H1219,"")</f>
        <v/>
      </c>
      <c r="L1219" s="5"/>
      <c r="M1219" s="8" t="str">
        <f>IF(AND(J1219&gt;0,L1219&gt;0),(L1219-J1219)/J1219,IF(AND(H1219&gt;0,L1219&gt;0),(L1219-H1219)/H1219,""))</f>
        <v/>
      </c>
      <c r="N1219" s="6">
        <v>45797</v>
      </c>
      <c r="O1219" s="5">
        <v>400</v>
      </c>
      <c r="P1219" s="8" t="str">
        <f>IF(AND(L1219&gt;0,O1219&gt;0),(O1219-L1219)/L1219,"")</f>
        <v/>
      </c>
      <c r="Q1219" s="9">
        <v>113</v>
      </c>
      <c r="R1219" s="9">
        <v>2</v>
      </c>
      <c r="S1219" s="10">
        <f>IF(N1219&gt;0,TODAY()-N1219,"")</f>
        <v>314</v>
      </c>
    </row>
    <row r="1220" ht="17" customHeight="1" spans="1:19" x14ac:dyDescent="0.25">
      <c r="A1220" s="11" t="s">
        <v>1934</v>
      </c>
      <c r="B1220" s="11" t="s">
        <v>1935</v>
      </c>
      <c r="C1220" s="11" t="s">
        <v>2455</v>
      </c>
      <c r="D1220" s="11" t="s">
        <v>2456</v>
      </c>
      <c r="E1220" s="12">
        <v>5</v>
      </c>
      <c r="F1220" s="13">
        <v>772.726</v>
      </c>
      <c r="G1220" s="14">
        <v>45727</v>
      </c>
      <c r="H1220" s="13">
        <v>772.73</v>
      </c>
      <c r="I1220" s="15" t="s">
        <v>24</v>
      </c>
      <c r="J1220" s="13"/>
      <c r="K1220" s="16" t="str">
        <f>IF(AND(H1220&gt;0,J1220&gt;0),(J1220-H1220)/H1220,"")</f>
        <v/>
      </c>
      <c r="L1220" s="13"/>
      <c r="M1220" s="16" t="str">
        <f>IF(AND(J1220&gt;0,L1220&gt;0),(L1220-J1220)/J1220,IF(AND(H1220&gt;0,L1220&gt;0),(L1220-H1220)/H1220,""))</f>
        <v/>
      </c>
      <c r="N1220" s="14">
        <v>45727</v>
      </c>
      <c r="O1220" s="13">
        <v>772.73</v>
      </c>
      <c r="P1220" s="16" t="str">
        <f>IF(AND(L1220&gt;0,O1220&gt;0),(O1220-L1220)/L1220,"")</f>
        <v/>
      </c>
      <c r="Q1220" s="18"/>
      <c r="R1220" s="18">
        <v>1</v>
      </c>
      <c r="S1220" s="10">
        <f>IF(N1220&gt;0,TODAY()-N1220,"")</f>
        <v>384</v>
      </c>
    </row>
    <row r="1221" ht="17" customHeight="1" spans="1:19" x14ac:dyDescent="0.25">
      <c r="A1221" s="3" t="s">
        <v>1934</v>
      </c>
      <c r="B1221" s="3" t="s">
        <v>1935</v>
      </c>
      <c r="C1221" s="3" t="s">
        <v>2457</v>
      </c>
      <c r="D1221" s="3" t="s">
        <v>2458</v>
      </c>
      <c r="E1221" s="4">
        <v>12</v>
      </c>
      <c r="F1221" s="5">
        <v>262.5</v>
      </c>
      <c r="G1221" s="6">
        <v>45868</v>
      </c>
      <c r="H1221" s="5">
        <v>262.5</v>
      </c>
      <c r="I1221" s="7" t="s">
        <v>24</v>
      </c>
      <c r="J1221" s="5"/>
      <c r="K1221" s="8" t="str">
        <f>IF(AND(H1221&gt;0,J1221&gt;0),(J1221-H1221)/H1221,"")</f>
        <v/>
      </c>
      <c r="L1221" s="5"/>
      <c r="M1221" s="8" t="str">
        <f>IF(AND(J1221&gt;0,L1221&gt;0),(L1221-J1221)/J1221,IF(AND(H1221&gt;0,L1221&gt;0),(L1221-H1221)/H1221,""))</f>
        <v/>
      </c>
      <c r="N1221" s="6">
        <v>45868</v>
      </c>
      <c r="O1221" s="5">
        <v>262.5</v>
      </c>
      <c r="P1221" s="8" t="str">
        <f>IF(AND(L1221&gt;0,O1221&gt;0),(O1221-L1221)/L1221,"")</f>
        <v/>
      </c>
      <c r="Q1221" s="9"/>
      <c r="R1221" s="9">
        <v>1</v>
      </c>
      <c r="S1221" s="10">
        <f>IF(N1221&gt;0,TODAY()-N1221,"")</f>
        <v>243</v>
      </c>
    </row>
    <row r="1222" ht="17" customHeight="1" spans="1:19" x14ac:dyDescent="0.25">
      <c r="A1222" s="11" t="s">
        <v>1934</v>
      </c>
      <c r="B1222" s="11" t="s">
        <v>1935</v>
      </c>
      <c r="C1222" s="11" t="s">
        <v>2459</v>
      </c>
      <c r="D1222" s="11" t="s">
        <v>2460</v>
      </c>
      <c r="E1222" s="12">
        <v>4</v>
      </c>
      <c r="F1222" s="13">
        <v>262.4975</v>
      </c>
      <c r="G1222" s="14">
        <v>45939</v>
      </c>
      <c r="H1222" s="13">
        <v>262.5</v>
      </c>
      <c r="I1222" s="15" t="s">
        <v>57</v>
      </c>
      <c r="J1222" s="13">
        <v>262.5</v>
      </c>
      <c r="K1222" s="17">
        <f>IF(AND(H1222&gt;0,J1222&gt;0),(J1222-H1222)/H1222,"")</f>
        <v>0</v>
      </c>
      <c r="L1222" s="13"/>
      <c r="M1222" s="16" t="str">
        <f>IF(AND(J1222&gt;0,L1222&gt;0),(L1222-J1222)/J1222,IF(AND(H1222&gt;0,L1222&gt;0),(L1222-H1222)/H1222,""))</f>
        <v/>
      </c>
      <c r="N1222" s="14">
        <v>45939</v>
      </c>
      <c r="O1222" s="13">
        <v>262.5</v>
      </c>
      <c r="P1222" s="16" t="str">
        <f>IF(AND(L1222&gt;0,O1222&gt;0),(O1222-L1222)/L1222,"")</f>
        <v/>
      </c>
      <c r="Q1222" s="18"/>
      <c r="R1222" s="18">
        <v>1</v>
      </c>
      <c r="S1222" s="21">
        <f>IF(N1222&gt;0,TODAY()-N1222,"")</f>
        <v>172</v>
      </c>
    </row>
    <row r="1223" ht="17" customHeight="1" spans="1:19" x14ac:dyDescent="0.25">
      <c r="A1223" s="3" t="s">
        <v>1934</v>
      </c>
      <c r="B1223" s="3" t="s">
        <v>1935</v>
      </c>
      <c r="C1223" s="3" t="s">
        <v>2461</v>
      </c>
      <c r="D1223" s="3" t="s">
        <v>2462</v>
      </c>
      <c r="E1223" s="4">
        <v>12</v>
      </c>
      <c r="F1223" s="5">
        <v>281.25</v>
      </c>
      <c r="G1223" s="6">
        <v>45868</v>
      </c>
      <c r="H1223" s="5">
        <v>281.25</v>
      </c>
      <c r="I1223" s="7" t="s">
        <v>24</v>
      </c>
      <c r="J1223" s="5"/>
      <c r="K1223" s="8" t="str">
        <f>IF(AND(H1223&gt;0,J1223&gt;0),(J1223-H1223)/H1223,"")</f>
        <v/>
      </c>
      <c r="L1223" s="5"/>
      <c r="M1223" s="8" t="str">
        <f>IF(AND(J1223&gt;0,L1223&gt;0),(L1223-J1223)/J1223,IF(AND(H1223&gt;0,L1223&gt;0),(L1223-H1223)/H1223,""))</f>
        <v/>
      </c>
      <c r="N1223" s="6">
        <v>45868</v>
      </c>
      <c r="O1223" s="5">
        <v>281.25</v>
      </c>
      <c r="P1223" s="8" t="str">
        <f>IF(AND(L1223&gt;0,O1223&gt;0),(O1223-L1223)/L1223,"")</f>
        <v/>
      </c>
      <c r="Q1223" s="9"/>
      <c r="R1223" s="9">
        <v>1</v>
      </c>
      <c r="S1223" s="10">
        <f>IF(N1223&gt;0,TODAY()-N1223,"")</f>
        <v>243</v>
      </c>
    </row>
    <row r="1224" ht="17" customHeight="1" spans="1:19" x14ac:dyDescent="0.25">
      <c r="A1224" s="11" t="s">
        <v>1934</v>
      </c>
      <c r="B1224" s="11" t="s">
        <v>1935</v>
      </c>
      <c r="C1224" s="11" t="s">
        <v>2463</v>
      </c>
      <c r="D1224" s="11" t="s">
        <v>2464</v>
      </c>
      <c r="E1224" s="12">
        <v>12</v>
      </c>
      <c r="F1224" s="13">
        <v>187.5</v>
      </c>
      <c r="G1224" s="14">
        <v>45868</v>
      </c>
      <c r="H1224" s="13">
        <v>187.5</v>
      </c>
      <c r="I1224" s="15" t="s">
        <v>24</v>
      </c>
      <c r="J1224" s="13"/>
      <c r="K1224" s="16" t="str">
        <f>IF(AND(H1224&gt;0,J1224&gt;0),(J1224-H1224)/H1224,"")</f>
        <v/>
      </c>
      <c r="L1224" s="13"/>
      <c r="M1224" s="16" t="str">
        <f>IF(AND(J1224&gt;0,L1224&gt;0),(L1224-J1224)/J1224,IF(AND(H1224&gt;0,L1224&gt;0),(L1224-H1224)/H1224,""))</f>
        <v/>
      </c>
      <c r="N1224" s="14">
        <v>45868</v>
      </c>
      <c r="O1224" s="13">
        <v>187.5</v>
      </c>
      <c r="P1224" s="16" t="str">
        <f>IF(AND(L1224&gt;0,O1224&gt;0),(O1224-L1224)/L1224,"")</f>
        <v/>
      </c>
      <c r="Q1224" s="18"/>
      <c r="R1224" s="18">
        <v>1</v>
      </c>
      <c r="S1224" s="10">
        <f>IF(N1224&gt;0,TODAY()-N1224,"")</f>
        <v>243</v>
      </c>
    </row>
    <row r="1225" ht="17" customHeight="1" spans="1:19" x14ac:dyDescent="0.25">
      <c r="A1225" s="3" t="s">
        <v>1934</v>
      </c>
      <c r="B1225" s="3" t="s">
        <v>1935</v>
      </c>
      <c r="C1225" s="3" t="s">
        <v>2465</v>
      </c>
      <c r="D1225" s="3" t="s">
        <v>2466</v>
      </c>
      <c r="E1225" s="4">
        <v>12</v>
      </c>
      <c r="F1225" s="5">
        <v>187.5</v>
      </c>
      <c r="G1225" s="6">
        <v>45868</v>
      </c>
      <c r="H1225" s="5">
        <v>187.5</v>
      </c>
      <c r="I1225" s="7" t="s">
        <v>24</v>
      </c>
      <c r="J1225" s="5"/>
      <c r="K1225" s="8" t="str">
        <f>IF(AND(H1225&gt;0,J1225&gt;0),(J1225-H1225)/H1225,"")</f>
        <v/>
      </c>
      <c r="L1225" s="5"/>
      <c r="M1225" s="8" t="str">
        <f>IF(AND(J1225&gt;0,L1225&gt;0),(L1225-J1225)/J1225,IF(AND(H1225&gt;0,L1225&gt;0),(L1225-H1225)/H1225,""))</f>
        <v/>
      </c>
      <c r="N1225" s="6">
        <v>45868</v>
      </c>
      <c r="O1225" s="5">
        <v>187.5</v>
      </c>
      <c r="P1225" s="8" t="str">
        <f>IF(AND(L1225&gt;0,O1225&gt;0),(O1225-L1225)/L1225,"")</f>
        <v/>
      </c>
      <c r="Q1225" s="9"/>
      <c r="R1225" s="9">
        <v>1</v>
      </c>
      <c r="S1225" s="10">
        <f>IF(N1225&gt;0,TODAY()-N1225,"")</f>
        <v>243</v>
      </c>
    </row>
    <row r="1226" ht="17" customHeight="1" spans="1:19" x14ac:dyDescent="0.25">
      <c r="A1226" s="11" t="s">
        <v>1934</v>
      </c>
      <c r="B1226" s="11" t="s">
        <v>1935</v>
      </c>
      <c r="C1226" s="11" t="s">
        <v>2467</v>
      </c>
      <c r="D1226" s="11" t="s">
        <v>2468</v>
      </c>
      <c r="E1226" s="12">
        <v>12</v>
      </c>
      <c r="F1226" s="13">
        <v>187.5</v>
      </c>
      <c r="G1226" s="14">
        <v>45868</v>
      </c>
      <c r="H1226" s="13">
        <v>187.5</v>
      </c>
      <c r="I1226" s="15" t="s">
        <v>24</v>
      </c>
      <c r="J1226" s="13"/>
      <c r="K1226" s="16" t="str">
        <f>IF(AND(H1226&gt;0,J1226&gt;0),(J1226-H1226)/H1226,"")</f>
        <v/>
      </c>
      <c r="L1226" s="13"/>
      <c r="M1226" s="16" t="str">
        <f>IF(AND(J1226&gt;0,L1226&gt;0),(L1226-J1226)/J1226,IF(AND(H1226&gt;0,L1226&gt;0),(L1226-H1226)/H1226,""))</f>
        <v/>
      </c>
      <c r="N1226" s="14">
        <v>45868</v>
      </c>
      <c r="O1226" s="13">
        <v>187.5</v>
      </c>
      <c r="P1226" s="16" t="str">
        <f>IF(AND(L1226&gt;0,O1226&gt;0),(O1226-L1226)/L1226,"")</f>
        <v/>
      </c>
      <c r="Q1226" s="18"/>
      <c r="R1226" s="18">
        <v>1</v>
      </c>
      <c r="S1226" s="10">
        <f>IF(N1226&gt;0,TODAY()-N1226,"")</f>
        <v>243</v>
      </c>
    </row>
    <row r="1227" ht="17" customHeight="1" spans="1:19" x14ac:dyDescent="0.25">
      <c r="A1227" s="3" t="s">
        <v>1934</v>
      </c>
      <c r="B1227" s="3" t="s">
        <v>1935</v>
      </c>
      <c r="C1227" s="3" t="s">
        <v>2469</v>
      </c>
      <c r="D1227" s="3" t="s">
        <v>2470</v>
      </c>
      <c r="E1227" s="4">
        <v>6</v>
      </c>
      <c r="F1227" s="5">
        <v>975</v>
      </c>
      <c r="G1227" s="6">
        <v>45692</v>
      </c>
      <c r="H1227" s="5">
        <v>514.58</v>
      </c>
      <c r="I1227" s="7" t="s">
        <v>24</v>
      </c>
      <c r="J1227" s="5"/>
      <c r="K1227" s="8" t="str">
        <f>IF(AND(H1227&gt;0,J1227&gt;0),(J1227-H1227)/H1227,"")</f>
        <v/>
      </c>
      <c r="L1227" s="5"/>
      <c r="M1227" s="8" t="str">
        <f>IF(AND(J1227&gt;0,L1227&gt;0),(L1227-J1227)/J1227,IF(AND(H1227&gt;0,L1227&gt;0),(L1227-H1227)/H1227,""))</f>
        <v/>
      </c>
      <c r="N1227" s="6">
        <v>45845</v>
      </c>
      <c r="O1227" s="5">
        <v>595.83</v>
      </c>
      <c r="P1227" s="8" t="str">
        <f>IF(AND(L1227&gt;0,O1227&gt;0),(O1227-L1227)/L1227,"")</f>
        <v/>
      </c>
      <c r="Q1227" s="9">
        <v>38</v>
      </c>
      <c r="R1227" s="9">
        <v>5</v>
      </c>
      <c r="S1227" s="10">
        <f>IF(N1227&gt;0,TODAY()-N1227,"")</f>
        <v>266</v>
      </c>
    </row>
    <row r="1228" ht="17" customHeight="1" spans="1:19" x14ac:dyDescent="0.25">
      <c r="A1228" s="11" t="s">
        <v>1934</v>
      </c>
      <c r="B1228" s="11" t="s">
        <v>1935</v>
      </c>
      <c r="C1228" s="11" t="s">
        <v>2471</v>
      </c>
      <c r="D1228" s="11" t="s">
        <v>2472</v>
      </c>
      <c r="E1228" s="12">
        <v>5</v>
      </c>
      <c r="F1228" s="13">
        <v>750</v>
      </c>
      <c r="G1228" s="14">
        <v>45698</v>
      </c>
      <c r="H1228" s="13">
        <v>406.25</v>
      </c>
      <c r="I1228" s="15" t="s">
        <v>24</v>
      </c>
      <c r="J1228" s="13"/>
      <c r="K1228" s="16" t="str">
        <f>IF(AND(H1228&gt;0,J1228&gt;0),(J1228-H1228)/H1228,"")</f>
        <v/>
      </c>
      <c r="L1228" s="13"/>
      <c r="M1228" s="16" t="str">
        <f>IF(AND(J1228&gt;0,L1228&gt;0),(L1228-J1228)/J1228,IF(AND(H1228&gt;0,L1228&gt;0),(L1228-H1228)/H1228,""))</f>
        <v/>
      </c>
      <c r="N1228" s="14">
        <v>45790</v>
      </c>
      <c r="O1228" s="13">
        <v>406.25</v>
      </c>
      <c r="P1228" s="16" t="str">
        <f>IF(AND(L1228&gt;0,O1228&gt;0),(O1228-L1228)/L1228,"")</f>
        <v/>
      </c>
      <c r="Q1228" s="18">
        <v>23</v>
      </c>
      <c r="R1228" s="18">
        <v>5</v>
      </c>
      <c r="S1228" s="10">
        <f>IF(N1228&gt;0,TODAY()-N1228,"")</f>
        <v>321</v>
      </c>
    </row>
    <row r="1229" ht="17" customHeight="1" spans="1:19" x14ac:dyDescent="0.25">
      <c r="A1229" s="3" t="s">
        <v>1934</v>
      </c>
      <c r="B1229" s="3" t="s">
        <v>1935</v>
      </c>
      <c r="C1229" s="3" t="s">
        <v>2473</v>
      </c>
      <c r="D1229" s="3" t="s">
        <v>2474</v>
      </c>
      <c r="E1229" s="4">
        <v>15</v>
      </c>
      <c r="F1229" s="5">
        <v>218.18186666666668</v>
      </c>
      <c r="G1229" s="6">
        <v>45833</v>
      </c>
      <c r="H1229" s="5">
        <v>218.18</v>
      </c>
      <c r="I1229" s="7" t="s">
        <v>24</v>
      </c>
      <c r="J1229" s="5"/>
      <c r="K1229" s="8" t="str">
        <f>IF(AND(H1229&gt;0,J1229&gt;0),(J1229-H1229)/H1229,"")</f>
        <v/>
      </c>
      <c r="L1229" s="5"/>
      <c r="M1229" s="8" t="str">
        <f>IF(AND(J1229&gt;0,L1229&gt;0),(L1229-J1229)/J1229,IF(AND(H1229&gt;0,L1229&gt;0),(L1229-H1229)/H1229,""))</f>
        <v/>
      </c>
      <c r="N1229" s="6">
        <v>45875</v>
      </c>
      <c r="O1229" s="5">
        <v>218.18</v>
      </c>
      <c r="P1229" s="8" t="str">
        <f>IF(AND(L1229&gt;0,O1229&gt;0),(O1229-L1229)/L1229,"")</f>
        <v/>
      </c>
      <c r="Q1229" s="9">
        <v>42</v>
      </c>
      <c r="R1229" s="9">
        <v>2</v>
      </c>
      <c r="S1229" s="10">
        <f>IF(N1229&gt;0,TODAY()-N1229,"")</f>
        <v>236</v>
      </c>
    </row>
    <row r="1230" ht="17" customHeight="1" spans="1:19" x14ac:dyDescent="0.25">
      <c r="A1230" s="11" t="s">
        <v>1934</v>
      </c>
      <c r="B1230" s="11" t="s">
        <v>1935</v>
      </c>
      <c r="C1230" s="11" t="s">
        <v>2475</v>
      </c>
      <c r="D1230" s="11" t="s">
        <v>2476</v>
      </c>
      <c r="E1230" s="12">
        <v>1</v>
      </c>
      <c r="F1230" s="13">
        <v>425</v>
      </c>
      <c r="G1230" s="14">
        <v>45854</v>
      </c>
      <c r="H1230" s="13">
        <v>425</v>
      </c>
      <c r="I1230" s="15" t="s">
        <v>24</v>
      </c>
      <c r="J1230" s="13"/>
      <c r="K1230" s="16" t="str">
        <f>IF(AND(H1230&gt;0,J1230&gt;0),(J1230-H1230)/H1230,"")</f>
        <v/>
      </c>
      <c r="L1230" s="13"/>
      <c r="M1230" s="16" t="str">
        <f>IF(AND(J1230&gt;0,L1230&gt;0),(L1230-J1230)/J1230,IF(AND(H1230&gt;0,L1230&gt;0),(L1230-H1230)/H1230,""))</f>
        <v/>
      </c>
      <c r="N1230" s="14">
        <v>45854</v>
      </c>
      <c r="O1230" s="13">
        <v>425</v>
      </c>
      <c r="P1230" s="16" t="str">
        <f>IF(AND(L1230&gt;0,O1230&gt;0),(O1230-L1230)/L1230,"")</f>
        <v/>
      </c>
      <c r="Q1230" s="18"/>
      <c r="R1230" s="18">
        <v>1</v>
      </c>
      <c r="S1230" s="10">
        <f>IF(N1230&gt;0,TODAY()-N1230,"")</f>
        <v>257</v>
      </c>
    </row>
    <row r="1231" ht="17" customHeight="1" spans="1:19" x14ac:dyDescent="0.25">
      <c r="A1231" s="3" t="s">
        <v>1934</v>
      </c>
      <c r="B1231" s="3" t="s">
        <v>1935</v>
      </c>
      <c r="C1231" s="3" t="s">
        <v>2477</v>
      </c>
      <c r="D1231" s="3" t="s">
        <v>2478</v>
      </c>
      <c r="E1231" s="4">
        <v>23</v>
      </c>
      <c r="F1231" s="5">
        <v>399.73478260869564</v>
      </c>
      <c r="G1231" s="6">
        <v>45727</v>
      </c>
      <c r="H1231" s="5">
        <v>396.95</v>
      </c>
      <c r="I1231" s="7" t="s">
        <v>24</v>
      </c>
      <c r="J1231" s="5"/>
      <c r="K1231" s="8" t="str">
        <f>IF(AND(H1231&gt;0,J1231&gt;0),(J1231-H1231)/H1231,"")</f>
        <v/>
      </c>
      <c r="L1231" s="5"/>
      <c r="M1231" s="8" t="str">
        <f>IF(AND(J1231&gt;0,L1231&gt;0),(L1231-J1231)/J1231,IF(AND(H1231&gt;0,L1231&gt;0),(L1231-H1231)/H1231,""))</f>
        <v/>
      </c>
      <c r="N1231" s="6">
        <v>45811</v>
      </c>
      <c r="O1231" s="5">
        <v>400</v>
      </c>
      <c r="P1231" s="8" t="str">
        <f>IF(AND(L1231&gt;0,O1231&gt;0),(O1231-L1231)/L1231,"")</f>
        <v/>
      </c>
      <c r="Q1231" s="9">
        <v>84</v>
      </c>
      <c r="R1231" s="9">
        <v>2</v>
      </c>
      <c r="S1231" s="10">
        <f>IF(N1231&gt;0,TODAY()-N1231,"")</f>
        <v>300</v>
      </c>
    </row>
    <row r="1232" ht="17" customHeight="1" spans="1:19" x14ac:dyDescent="0.25">
      <c r="A1232" s="11" t="s">
        <v>1934</v>
      </c>
      <c r="B1232" s="11" t="s">
        <v>1935</v>
      </c>
      <c r="C1232" s="11" t="s">
        <v>2479</v>
      </c>
      <c r="D1232" s="11" t="s">
        <v>2480</v>
      </c>
      <c r="E1232" s="12">
        <v>12</v>
      </c>
      <c r="F1232" s="13">
        <v>399.4916666666666</v>
      </c>
      <c r="G1232" s="14">
        <v>45727</v>
      </c>
      <c r="H1232" s="13">
        <v>396.95</v>
      </c>
      <c r="I1232" s="15" t="s">
        <v>24</v>
      </c>
      <c r="J1232" s="13"/>
      <c r="K1232" s="16" t="str">
        <f>IF(AND(H1232&gt;0,J1232&gt;0),(J1232-H1232)/H1232,"")</f>
        <v/>
      </c>
      <c r="L1232" s="13"/>
      <c r="M1232" s="16" t="str">
        <f>IF(AND(J1232&gt;0,L1232&gt;0),(L1232-J1232)/J1232,IF(AND(H1232&gt;0,L1232&gt;0),(L1232-H1232)/H1232,""))</f>
        <v/>
      </c>
      <c r="N1232" s="14">
        <v>45811</v>
      </c>
      <c r="O1232" s="13">
        <v>400</v>
      </c>
      <c r="P1232" s="16" t="str">
        <f>IF(AND(L1232&gt;0,O1232&gt;0),(O1232-L1232)/L1232,"")</f>
        <v/>
      </c>
      <c r="Q1232" s="18">
        <v>84</v>
      </c>
      <c r="R1232" s="18">
        <v>2</v>
      </c>
      <c r="S1232" s="10">
        <f>IF(N1232&gt;0,TODAY()-N1232,"")</f>
        <v>300</v>
      </c>
    </row>
    <row r="1233" ht="17" customHeight="1" spans="1:19" x14ac:dyDescent="0.25">
      <c r="A1233" s="3" t="s">
        <v>1934</v>
      </c>
      <c r="B1233" s="3" t="s">
        <v>1935</v>
      </c>
      <c r="C1233" s="3" t="s">
        <v>2481</v>
      </c>
      <c r="D1233" s="3" t="s">
        <v>2482</v>
      </c>
      <c r="E1233" s="4">
        <v>12</v>
      </c>
      <c r="F1233" s="5">
        <v>399.4916666666666</v>
      </c>
      <c r="G1233" s="6">
        <v>45727</v>
      </c>
      <c r="H1233" s="5">
        <v>396.95</v>
      </c>
      <c r="I1233" s="7" t="s">
        <v>24</v>
      </c>
      <c r="J1233" s="5"/>
      <c r="K1233" s="8" t="str">
        <f>IF(AND(H1233&gt;0,J1233&gt;0),(J1233-H1233)/H1233,"")</f>
        <v/>
      </c>
      <c r="L1233" s="5"/>
      <c r="M1233" s="8" t="str">
        <f>IF(AND(J1233&gt;0,L1233&gt;0),(L1233-J1233)/J1233,IF(AND(H1233&gt;0,L1233&gt;0),(L1233-H1233)/H1233,""))</f>
        <v/>
      </c>
      <c r="N1233" s="6">
        <v>45811</v>
      </c>
      <c r="O1233" s="5">
        <v>400</v>
      </c>
      <c r="P1233" s="8" t="str">
        <f>IF(AND(L1233&gt;0,O1233&gt;0),(O1233-L1233)/L1233,"")</f>
        <v/>
      </c>
      <c r="Q1233" s="9">
        <v>84</v>
      </c>
      <c r="R1233" s="9">
        <v>2</v>
      </c>
      <c r="S1233" s="10">
        <f>IF(N1233&gt;0,TODAY()-N1233,"")</f>
        <v>300</v>
      </c>
    </row>
    <row r="1234" ht="17" customHeight="1" spans="1:19" x14ac:dyDescent="0.25">
      <c r="A1234" s="11" t="s">
        <v>1934</v>
      </c>
      <c r="B1234" s="11" t="s">
        <v>1935</v>
      </c>
      <c r="C1234" s="11" t="s">
        <v>2483</v>
      </c>
      <c r="D1234" s="11" t="s">
        <v>2484</v>
      </c>
      <c r="E1234" s="12">
        <v>14</v>
      </c>
      <c r="F1234" s="13">
        <v>399.5642857142857</v>
      </c>
      <c r="G1234" s="14">
        <v>45727</v>
      </c>
      <c r="H1234" s="13">
        <v>396.95</v>
      </c>
      <c r="I1234" s="15" t="s">
        <v>24</v>
      </c>
      <c r="J1234" s="13"/>
      <c r="K1234" s="16" t="str">
        <f>IF(AND(H1234&gt;0,J1234&gt;0),(J1234-H1234)/H1234,"")</f>
        <v/>
      </c>
      <c r="L1234" s="13"/>
      <c r="M1234" s="16" t="str">
        <f>IF(AND(J1234&gt;0,L1234&gt;0),(L1234-J1234)/J1234,IF(AND(H1234&gt;0,L1234&gt;0),(L1234-H1234)/H1234,""))</f>
        <v/>
      </c>
      <c r="N1234" s="14">
        <v>45811</v>
      </c>
      <c r="O1234" s="13">
        <v>400</v>
      </c>
      <c r="P1234" s="16" t="str">
        <f>IF(AND(L1234&gt;0,O1234&gt;0),(O1234-L1234)/L1234,"")</f>
        <v/>
      </c>
      <c r="Q1234" s="18">
        <v>84</v>
      </c>
      <c r="R1234" s="18">
        <v>2</v>
      </c>
      <c r="S1234" s="10">
        <f>IF(N1234&gt;0,TODAY()-N1234,"")</f>
        <v>300</v>
      </c>
    </row>
    <row r="1235" ht="17" customHeight="1" spans="1:19" x14ac:dyDescent="0.25">
      <c r="A1235" s="3" t="s">
        <v>1934</v>
      </c>
      <c r="B1235" s="3" t="s">
        <v>1935</v>
      </c>
      <c r="C1235" s="3" t="s">
        <v>2485</v>
      </c>
      <c r="D1235" s="3" t="s">
        <v>2486</v>
      </c>
      <c r="E1235" s="4">
        <v>1351</v>
      </c>
      <c r="F1235" s="5">
        <v>0.6302220577350112</v>
      </c>
      <c r="G1235" s="6">
        <v>45692</v>
      </c>
      <c r="H1235" s="5">
        <v>1.43</v>
      </c>
      <c r="I1235" s="7" t="s">
        <v>24</v>
      </c>
      <c r="J1235" s="5"/>
      <c r="K1235" s="8" t="str">
        <f>IF(AND(H1235&gt;0,J1235&gt;0),(J1235-H1235)/H1235,"")</f>
        <v/>
      </c>
      <c r="L1235" s="5"/>
      <c r="M1235" s="8" t="str">
        <f>IF(AND(J1235&gt;0,L1235&gt;0),(L1235-J1235)/J1235,IF(AND(H1235&gt;0,L1235&gt;0),(L1235-H1235)/H1235,""))</f>
        <v/>
      </c>
      <c r="N1235" s="6">
        <v>45841</v>
      </c>
      <c r="O1235" s="5">
        <v>0.35</v>
      </c>
      <c r="P1235" s="8" t="str">
        <f>IF(AND(L1235&gt;0,O1235&gt;0),(O1235-L1235)/L1235,"")</f>
        <v/>
      </c>
      <c r="Q1235" s="9">
        <v>149</v>
      </c>
      <c r="R1235" s="9">
        <v>2</v>
      </c>
      <c r="S1235" s="10">
        <f>IF(N1235&gt;0,TODAY()-N1235,"")</f>
        <v>270</v>
      </c>
    </row>
    <row r="1236" ht="17" customHeight="1" spans="1:19" x14ac:dyDescent="0.25">
      <c r="A1236" s="11" t="s">
        <v>1934</v>
      </c>
      <c r="B1236" s="11" t="s">
        <v>1935</v>
      </c>
      <c r="C1236" s="11" t="s">
        <v>2487</v>
      </c>
      <c r="D1236" s="11" t="s">
        <v>2488</v>
      </c>
      <c r="E1236" s="12">
        <v>221</v>
      </c>
      <c r="F1236" s="13">
        <v>50</v>
      </c>
      <c r="G1236" s="14">
        <v>45692</v>
      </c>
      <c r="H1236" s="13">
        <v>50</v>
      </c>
      <c r="I1236" s="15" t="s">
        <v>24</v>
      </c>
      <c r="J1236" s="13"/>
      <c r="K1236" s="16" t="str">
        <f>IF(AND(H1236&gt;0,J1236&gt;0),(J1236-H1236)/H1236,"")</f>
        <v/>
      </c>
      <c r="L1236" s="13"/>
      <c r="M1236" s="16" t="str">
        <f>IF(AND(J1236&gt;0,L1236&gt;0),(L1236-J1236)/J1236,IF(AND(H1236&gt;0,L1236&gt;0),(L1236-H1236)/H1236,""))</f>
        <v/>
      </c>
      <c r="N1236" s="14">
        <v>45692</v>
      </c>
      <c r="O1236" s="13">
        <v>50</v>
      </c>
      <c r="P1236" s="16" t="str">
        <f>IF(AND(L1236&gt;0,O1236&gt;0),(O1236-L1236)/L1236,"")</f>
        <v/>
      </c>
      <c r="Q1236" s="18"/>
      <c r="R1236" s="18">
        <v>1</v>
      </c>
      <c r="S1236" s="10">
        <f>IF(N1236&gt;0,TODAY()-N1236,"")</f>
        <v>419</v>
      </c>
    </row>
    <row r="1237" ht="17" customHeight="1" spans="1:19" x14ac:dyDescent="0.25">
      <c r="A1237" s="3" t="s">
        <v>1934</v>
      </c>
      <c r="B1237" s="3" t="s">
        <v>1935</v>
      </c>
      <c r="C1237" s="3" t="s">
        <v>2489</v>
      </c>
      <c r="D1237" s="3" t="s">
        <v>2490</v>
      </c>
      <c r="E1237" s="4">
        <v>180</v>
      </c>
      <c r="F1237" s="5">
        <v>283.208525</v>
      </c>
      <c r="G1237" s="6">
        <v>45881</v>
      </c>
      <c r="H1237" s="5">
        <v>283.21</v>
      </c>
      <c r="I1237" s="7" t="s">
        <v>24</v>
      </c>
      <c r="J1237" s="5"/>
      <c r="K1237" s="8" t="str">
        <f>IF(AND(H1237&gt;0,J1237&gt;0),(J1237-H1237)/H1237,"")</f>
        <v/>
      </c>
      <c r="L1237" s="5"/>
      <c r="M1237" s="8" t="str">
        <f>IF(AND(J1237&gt;0,L1237&gt;0),(L1237-J1237)/J1237,IF(AND(H1237&gt;0,L1237&gt;0),(L1237-H1237)/H1237,""))</f>
        <v/>
      </c>
      <c r="N1237" s="6">
        <v>45881</v>
      </c>
      <c r="O1237" s="5">
        <v>283.21</v>
      </c>
      <c r="P1237" s="8" t="str">
        <f>IF(AND(L1237&gt;0,O1237&gt;0),(O1237-L1237)/L1237,"")</f>
        <v/>
      </c>
      <c r="Q1237" s="9"/>
      <c r="R1237" s="9">
        <v>1</v>
      </c>
      <c r="S1237" s="10">
        <f>IF(N1237&gt;0,TODAY()-N1237,"")</f>
        <v>230</v>
      </c>
    </row>
    <row r="1238" ht="17" customHeight="1" spans="1:19" x14ac:dyDescent="0.25">
      <c r="A1238" s="11" t="s">
        <v>1934</v>
      </c>
      <c r="B1238" s="11" t="s">
        <v>1935</v>
      </c>
      <c r="C1238" s="11" t="s">
        <v>2491</v>
      </c>
      <c r="D1238" s="11" t="s">
        <v>2492</v>
      </c>
      <c r="E1238" s="12">
        <v>180</v>
      </c>
      <c r="F1238" s="13">
        <v>283.208525</v>
      </c>
      <c r="G1238" s="14">
        <v>45881</v>
      </c>
      <c r="H1238" s="13">
        <v>283.21</v>
      </c>
      <c r="I1238" s="15" t="s">
        <v>24</v>
      </c>
      <c r="J1238" s="13"/>
      <c r="K1238" s="16" t="str">
        <f>IF(AND(H1238&gt;0,J1238&gt;0),(J1238-H1238)/H1238,"")</f>
        <v/>
      </c>
      <c r="L1238" s="13"/>
      <c r="M1238" s="16" t="str">
        <f>IF(AND(J1238&gt;0,L1238&gt;0),(L1238-J1238)/J1238,IF(AND(H1238&gt;0,L1238&gt;0),(L1238-H1238)/H1238,""))</f>
        <v/>
      </c>
      <c r="N1238" s="14">
        <v>45881</v>
      </c>
      <c r="O1238" s="13">
        <v>283.21</v>
      </c>
      <c r="P1238" s="16" t="str">
        <f>IF(AND(L1238&gt;0,O1238&gt;0),(O1238-L1238)/L1238,"")</f>
        <v/>
      </c>
      <c r="Q1238" s="18"/>
      <c r="R1238" s="18">
        <v>1</v>
      </c>
      <c r="S1238" s="10">
        <f>IF(N1238&gt;0,TODAY()-N1238,"")</f>
        <v>230</v>
      </c>
    </row>
    <row r="1239" ht="17" customHeight="1" spans="1:19" x14ac:dyDescent="0.25">
      <c r="A1239" s="3" t="s">
        <v>1934</v>
      </c>
      <c r="B1239" s="3" t="s">
        <v>1935</v>
      </c>
      <c r="C1239" s="3" t="s">
        <v>2493</v>
      </c>
      <c r="D1239" s="3" t="s">
        <v>2494</v>
      </c>
      <c r="E1239" s="4">
        <v>180</v>
      </c>
      <c r="F1239" s="5">
        <v>283.208525</v>
      </c>
      <c r="G1239" s="6">
        <v>45881</v>
      </c>
      <c r="H1239" s="5">
        <v>283.21</v>
      </c>
      <c r="I1239" s="7" t="s">
        <v>24</v>
      </c>
      <c r="J1239" s="5"/>
      <c r="K1239" s="8" t="str">
        <f>IF(AND(H1239&gt;0,J1239&gt;0),(J1239-H1239)/H1239,"")</f>
        <v/>
      </c>
      <c r="L1239" s="5"/>
      <c r="M1239" s="8" t="str">
        <f>IF(AND(J1239&gt;0,L1239&gt;0),(L1239-J1239)/J1239,IF(AND(H1239&gt;0,L1239&gt;0),(L1239-H1239)/H1239,""))</f>
        <v/>
      </c>
      <c r="N1239" s="6">
        <v>45881</v>
      </c>
      <c r="O1239" s="5">
        <v>283.21</v>
      </c>
      <c r="P1239" s="8" t="str">
        <f>IF(AND(L1239&gt;0,O1239&gt;0),(O1239-L1239)/L1239,"")</f>
        <v/>
      </c>
      <c r="Q1239" s="9"/>
      <c r="R1239" s="9">
        <v>1</v>
      </c>
      <c r="S1239" s="10">
        <f>IF(N1239&gt;0,TODAY()-N1239,"")</f>
        <v>230</v>
      </c>
    </row>
    <row r="1240" ht="17" customHeight="1" spans="1:19" x14ac:dyDescent="0.25">
      <c r="A1240" s="11" t="s">
        <v>1934</v>
      </c>
      <c r="B1240" s="11" t="s">
        <v>1935</v>
      </c>
      <c r="C1240" s="11" t="s">
        <v>2495</v>
      </c>
      <c r="D1240" s="11" t="s">
        <v>2496</v>
      </c>
      <c r="E1240" s="12">
        <v>180</v>
      </c>
      <c r="F1240" s="13">
        <v>283.208525</v>
      </c>
      <c r="G1240" s="14">
        <v>45881</v>
      </c>
      <c r="H1240" s="13">
        <v>283.21</v>
      </c>
      <c r="I1240" s="15" t="s">
        <v>24</v>
      </c>
      <c r="J1240" s="13"/>
      <c r="K1240" s="16" t="str">
        <f>IF(AND(H1240&gt;0,J1240&gt;0),(J1240-H1240)/H1240,"")</f>
        <v/>
      </c>
      <c r="L1240" s="13"/>
      <c r="M1240" s="16" t="str">
        <f>IF(AND(J1240&gt;0,L1240&gt;0),(L1240-J1240)/J1240,IF(AND(H1240&gt;0,L1240&gt;0),(L1240-H1240)/H1240,""))</f>
        <v/>
      </c>
      <c r="N1240" s="14">
        <v>45881</v>
      </c>
      <c r="O1240" s="13">
        <v>283.21</v>
      </c>
      <c r="P1240" s="16" t="str">
        <f>IF(AND(L1240&gt;0,O1240&gt;0),(O1240-L1240)/L1240,"")</f>
        <v/>
      </c>
      <c r="Q1240" s="18"/>
      <c r="R1240" s="18">
        <v>1</v>
      </c>
      <c r="S1240" s="10">
        <f>IF(N1240&gt;0,TODAY()-N1240,"")</f>
        <v>230</v>
      </c>
    </row>
    <row r="1241" ht="17" customHeight="1" spans="1:19" x14ac:dyDescent="0.25">
      <c r="A1241" s="3" t="s">
        <v>1934</v>
      </c>
      <c r="B1241" s="3" t="s">
        <v>1935</v>
      </c>
      <c r="C1241" s="3" t="s">
        <v>2497</v>
      </c>
      <c r="D1241" s="3" t="s">
        <v>2498</v>
      </c>
      <c r="E1241" s="4">
        <v>24</v>
      </c>
      <c r="F1241" s="5">
        <v>159.25</v>
      </c>
      <c r="G1241" s="6">
        <v>45824</v>
      </c>
      <c r="H1241" s="5">
        <v>159.25</v>
      </c>
      <c r="I1241" s="7" t="s">
        <v>24</v>
      </c>
      <c r="J1241" s="5"/>
      <c r="K1241" s="8" t="str">
        <f>IF(AND(H1241&gt;0,J1241&gt;0),(J1241-H1241)/H1241,"")</f>
        <v/>
      </c>
      <c r="L1241" s="5"/>
      <c r="M1241" s="8" t="str">
        <f>IF(AND(J1241&gt;0,L1241&gt;0),(L1241-J1241)/J1241,IF(AND(H1241&gt;0,L1241&gt;0),(L1241-H1241)/H1241,""))</f>
        <v/>
      </c>
      <c r="N1241" s="6">
        <v>45824</v>
      </c>
      <c r="O1241" s="5">
        <v>159.25</v>
      </c>
      <c r="P1241" s="8" t="str">
        <f>IF(AND(L1241&gt;0,O1241&gt;0),(O1241-L1241)/L1241,"")</f>
        <v/>
      </c>
      <c r="Q1241" s="9"/>
      <c r="R1241" s="9">
        <v>1</v>
      </c>
      <c r="S1241" s="10">
        <f>IF(N1241&gt;0,TODAY()-N1241,"")</f>
        <v>287</v>
      </c>
    </row>
    <row r="1242" ht="17" customHeight="1" spans="1:19" x14ac:dyDescent="0.25">
      <c r="A1242" s="11" t="s">
        <v>1934</v>
      </c>
      <c r="B1242" s="11" t="s">
        <v>1935</v>
      </c>
      <c r="C1242" s="11" t="s">
        <v>2499</v>
      </c>
      <c r="D1242" s="11" t="s">
        <v>2500</v>
      </c>
      <c r="E1242" s="12">
        <v>125</v>
      </c>
      <c r="F1242" s="13">
        <v>860.91</v>
      </c>
      <c r="G1242" s="14">
        <v>45797</v>
      </c>
      <c r="H1242" s="13">
        <v>860.91</v>
      </c>
      <c r="I1242" s="15" t="s">
        <v>24</v>
      </c>
      <c r="J1242" s="13"/>
      <c r="K1242" s="16" t="str">
        <f>IF(AND(H1242&gt;0,J1242&gt;0),(J1242-H1242)/H1242,"")</f>
        <v/>
      </c>
      <c r="L1242" s="13"/>
      <c r="M1242" s="16" t="str">
        <f>IF(AND(J1242&gt;0,L1242&gt;0),(L1242-J1242)/J1242,IF(AND(H1242&gt;0,L1242&gt;0),(L1242-H1242)/H1242,""))</f>
        <v/>
      </c>
      <c r="N1242" s="14">
        <v>45797</v>
      </c>
      <c r="O1242" s="13">
        <v>860.91</v>
      </c>
      <c r="P1242" s="16" t="str">
        <f>IF(AND(L1242&gt;0,O1242&gt;0),(O1242-L1242)/L1242,"")</f>
        <v/>
      </c>
      <c r="Q1242" s="18"/>
      <c r="R1242" s="18">
        <v>1</v>
      </c>
      <c r="S1242" s="10">
        <f>IF(N1242&gt;0,TODAY()-N1242,"")</f>
        <v>314</v>
      </c>
    </row>
    <row r="1243" ht="17" customHeight="1" spans="1:19" x14ac:dyDescent="0.25">
      <c r="A1243" s="3" t="s">
        <v>1934</v>
      </c>
      <c r="B1243" s="3" t="s">
        <v>1935</v>
      </c>
      <c r="C1243" s="3" t="s">
        <v>2501</v>
      </c>
      <c r="D1243" s="3" t="s">
        <v>2502</v>
      </c>
      <c r="E1243" s="4">
        <v>33</v>
      </c>
      <c r="F1243" s="5">
        <v>275</v>
      </c>
      <c r="G1243" s="6">
        <v>45726</v>
      </c>
      <c r="H1243" s="5">
        <v>275</v>
      </c>
      <c r="I1243" s="7" t="s">
        <v>24</v>
      </c>
      <c r="J1243" s="5"/>
      <c r="K1243" s="8" t="str">
        <f>IF(AND(H1243&gt;0,J1243&gt;0),(J1243-H1243)/H1243,"")</f>
        <v/>
      </c>
      <c r="L1243" s="5"/>
      <c r="M1243" s="8" t="str">
        <f>IF(AND(J1243&gt;0,L1243&gt;0),(L1243-J1243)/J1243,IF(AND(H1243&gt;0,L1243&gt;0),(L1243-H1243)/H1243,""))</f>
        <v/>
      </c>
      <c r="N1243" s="6">
        <v>45895</v>
      </c>
      <c r="O1243" s="5">
        <v>275</v>
      </c>
      <c r="P1243" s="8" t="str">
        <f>IF(AND(L1243&gt;0,O1243&gt;0),(O1243-L1243)/L1243,"")</f>
        <v/>
      </c>
      <c r="Q1243" s="9">
        <v>42</v>
      </c>
      <c r="R1243" s="9">
        <v>5</v>
      </c>
      <c r="S1243" s="10">
        <f>IF(N1243&gt;0,TODAY()-N1243,"")</f>
        <v>216</v>
      </c>
    </row>
    <row r="1244" ht="17" customHeight="1" spans="1:19" x14ac:dyDescent="0.25">
      <c r="A1244" s="11" t="s">
        <v>1934</v>
      </c>
      <c r="B1244" s="11" t="s">
        <v>1935</v>
      </c>
      <c r="C1244" s="11" t="s">
        <v>2503</v>
      </c>
      <c r="D1244" s="11" t="s">
        <v>2504</v>
      </c>
      <c r="E1244" s="12">
        <v>24</v>
      </c>
      <c r="F1244" s="13">
        <v>351.75</v>
      </c>
      <c r="G1244" s="14">
        <v>45824</v>
      </c>
      <c r="H1244" s="13">
        <v>351.75</v>
      </c>
      <c r="I1244" s="15" t="s">
        <v>24</v>
      </c>
      <c r="J1244" s="13"/>
      <c r="K1244" s="16" t="str">
        <f>IF(AND(H1244&gt;0,J1244&gt;0),(J1244-H1244)/H1244,"")</f>
        <v/>
      </c>
      <c r="L1244" s="13"/>
      <c r="M1244" s="16" t="str">
        <f>IF(AND(J1244&gt;0,L1244&gt;0),(L1244-J1244)/J1244,IF(AND(H1244&gt;0,L1244&gt;0),(L1244-H1244)/H1244,""))</f>
        <v/>
      </c>
      <c r="N1244" s="14">
        <v>45824</v>
      </c>
      <c r="O1244" s="13">
        <v>351.75</v>
      </c>
      <c r="P1244" s="16" t="str">
        <f>IF(AND(L1244&gt;0,O1244&gt;0),(O1244-L1244)/L1244,"")</f>
        <v/>
      </c>
      <c r="Q1244" s="18"/>
      <c r="R1244" s="18">
        <v>1</v>
      </c>
      <c r="S1244" s="10">
        <f>IF(N1244&gt;0,TODAY()-N1244,"")</f>
        <v>287</v>
      </c>
    </row>
    <row r="1245" ht="17" customHeight="1" spans="1:19" x14ac:dyDescent="0.25">
      <c r="A1245" s="3" t="s">
        <v>1934</v>
      </c>
      <c r="B1245" s="3" t="s">
        <v>1935</v>
      </c>
      <c r="C1245" s="3" t="s">
        <v>2505</v>
      </c>
      <c r="D1245" s="3" t="s">
        <v>2506</v>
      </c>
      <c r="E1245" s="4">
        <v>39</v>
      </c>
      <c r="F1245" s="5">
        <v>376.08461538461535</v>
      </c>
      <c r="G1245" s="6">
        <v>45730</v>
      </c>
      <c r="H1245" s="5">
        <v>358.75</v>
      </c>
      <c r="I1245" s="7" t="s">
        <v>24</v>
      </c>
      <c r="J1245" s="5"/>
      <c r="K1245" s="8" t="str">
        <f>IF(AND(H1245&gt;0,J1245&gt;0),(J1245-H1245)/H1245,"")</f>
        <v/>
      </c>
      <c r="L1245" s="5"/>
      <c r="M1245" s="8" t="str">
        <f>IF(AND(J1245&gt;0,L1245&gt;0),(L1245-J1245)/J1245,IF(AND(H1245&gt;0,L1245&gt;0),(L1245-H1245)/H1245,""))</f>
        <v/>
      </c>
      <c r="N1245" s="6">
        <v>45924</v>
      </c>
      <c r="O1245" s="5">
        <v>403.82</v>
      </c>
      <c r="P1245" s="8" t="str">
        <f>IF(AND(L1245&gt;0,O1245&gt;0),(O1245-L1245)/L1245,"")</f>
        <v/>
      </c>
      <c r="Q1245" s="9">
        <v>194</v>
      </c>
      <c r="R1245" s="9">
        <v>2</v>
      </c>
      <c r="S1245" s="10">
        <f>IF(N1245&gt;0,TODAY()-N1245,"")</f>
        <v>187</v>
      </c>
    </row>
    <row r="1246" ht="17" customHeight="1" spans="1:19" x14ac:dyDescent="0.25">
      <c r="A1246" s="11" t="s">
        <v>1934</v>
      </c>
      <c r="B1246" s="11" t="s">
        <v>1935</v>
      </c>
      <c r="C1246" s="11" t="s">
        <v>2507</v>
      </c>
      <c r="D1246" s="11" t="s">
        <v>2508</v>
      </c>
      <c r="E1246" s="12">
        <v>160</v>
      </c>
      <c r="F1246" s="13">
        <v>37.3819</v>
      </c>
      <c r="G1246" s="14">
        <v>45881</v>
      </c>
      <c r="H1246" s="13">
        <v>37.38</v>
      </c>
      <c r="I1246" s="15" t="s">
        <v>24</v>
      </c>
      <c r="J1246" s="13"/>
      <c r="K1246" s="16" t="str">
        <f>IF(AND(H1246&gt;0,J1246&gt;0),(J1246-H1246)/H1246,"")</f>
        <v/>
      </c>
      <c r="L1246" s="13"/>
      <c r="M1246" s="16" t="str">
        <f>IF(AND(J1246&gt;0,L1246&gt;0),(L1246-J1246)/J1246,IF(AND(H1246&gt;0,L1246&gt;0),(L1246-H1246)/H1246,""))</f>
        <v/>
      </c>
      <c r="N1246" s="14">
        <v>45881</v>
      </c>
      <c r="O1246" s="13">
        <v>37.38</v>
      </c>
      <c r="P1246" s="16" t="str">
        <f>IF(AND(L1246&gt;0,O1246&gt;0),(O1246-L1246)/L1246,"")</f>
        <v/>
      </c>
      <c r="Q1246" s="18"/>
      <c r="R1246" s="18">
        <v>1</v>
      </c>
      <c r="S1246" s="10">
        <f>IF(N1246&gt;0,TODAY()-N1246,"")</f>
        <v>230</v>
      </c>
    </row>
    <row r="1247" ht="17" customHeight="1" spans="1:19" x14ac:dyDescent="0.25">
      <c r="A1247" s="3" t="s">
        <v>1934</v>
      </c>
      <c r="B1247" s="3" t="s">
        <v>1935</v>
      </c>
      <c r="C1247" s="3" t="s">
        <v>2509</v>
      </c>
      <c r="D1247" s="3" t="s">
        <v>2510</v>
      </c>
      <c r="E1247" s="4">
        <v>75</v>
      </c>
      <c r="F1247" s="5">
        <v>342.8233333333333</v>
      </c>
      <c r="G1247" s="6">
        <v>45673</v>
      </c>
      <c r="H1247" s="5">
        <v>349.5</v>
      </c>
      <c r="I1247" s="7" t="s">
        <v>24</v>
      </c>
      <c r="J1247" s="5"/>
      <c r="K1247" s="8" t="str">
        <f>IF(AND(H1247&gt;0,J1247&gt;0),(J1247-H1247)/H1247,"")</f>
        <v/>
      </c>
      <c r="L1247" s="5"/>
      <c r="M1247" s="8" t="str">
        <f>IF(AND(J1247&gt;0,L1247&gt;0),(L1247-J1247)/J1247,IF(AND(H1247&gt;0,L1247&gt;0),(L1247-H1247)/H1247,""))</f>
        <v/>
      </c>
      <c r="N1247" s="6">
        <v>45924</v>
      </c>
      <c r="O1247" s="5">
        <v>358.97</v>
      </c>
      <c r="P1247" s="8" t="str">
        <f>IF(AND(L1247&gt;0,O1247&gt;0),(O1247-L1247)/L1247,"")</f>
        <v/>
      </c>
      <c r="Q1247" s="9">
        <v>126</v>
      </c>
      <c r="R1247" s="9">
        <v>3</v>
      </c>
      <c r="S1247" s="10">
        <f>IF(N1247&gt;0,TODAY()-N1247,"")</f>
        <v>187</v>
      </c>
    </row>
    <row r="1248" ht="17" customHeight="1" spans="1:19" x14ac:dyDescent="0.25">
      <c r="A1248" s="11" t="s">
        <v>1934</v>
      </c>
      <c r="B1248" s="11" t="s">
        <v>1935</v>
      </c>
      <c r="C1248" s="11" t="s">
        <v>2511</v>
      </c>
      <c r="D1248" s="11" t="s">
        <v>2512</v>
      </c>
      <c r="E1248" s="12">
        <v>45</v>
      </c>
      <c r="F1248" s="13">
        <v>340.98333333333335</v>
      </c>
      <c r="G1248" s="14">
        <v>45730</v>
      </c>
      <c r="H1248" s="13">
        <v>318.5</v>
      </c>
      <c r="I1248" s="15" t="s">
        <v>24</v>
      </c>
      <c r="J1248" s="13"/>
      <c r="K1248" s="16" t="str">
        <f>IF(AND(H1248&gt;0,J1248&gt;0),(J1248-H1248)/H1248,"")</f>
        <v/>
      </c>
      <c r="L1248" s="13"/>
      <c r="M1248" s="16" t="str">
        <f>IF(AND(J1248&gt;0,L1248&gt;0),(L1248-J1248)/J1248,IF(AND(H1248&gt;0,L1248&gt;0),(L1248-H1248)/H1248,""))</f>
        <v/>
      </c>
      <c r="N1248" s="14">
        <v>45924</v>
      </c>
      <c r="O1248" s="13">
        <v>358.97</v>
      </c>
      <c r="P1248" s="16" t="str">
        <f>IF(AND(L1248&gt;0,O1248&gt;0),(O1248-L1248)/L1248,"")</f>
        <v/>
      </c>
      <c r="Q1248" s="18">
        <v>194</v>
      </c>
      <c r="R1248" s="18">
        <v>2</v>
      </c>
      <c r="S1248" s="10">
        <f>IF(N1248&gt;0,TODAY()-N1248,"")</f>
        <v>187</v>
      </c>
    </row>
    <row r="1249" ht="17" customHeight="1" spans="1:19" x14ac:dyDescent="0.25">
      <c r="A1249" s="3" t="s">
        <v>1934</v>
      </c>
      <c r="B1249" s="3" t="s">
        <v>1935</v>
      </c>
      <c r="C1249" s="3" t="s">
        <v>2513</v>
      </c>
      <c r="D1249" s="3" t="s">
        <v>2514</v>
      </c>
      <c r="E1249" s="4">
        <v>13</v>
      </c>
      <c r="F1249" s="5">
        <v>898.42</v>
      </c>
      <c r="G1249" s="6">
        <v>45677</v>
      </c>
      <c r="H1249" s="5">
        <v>898.42</v>
      </c>
      <c r="I1249" s="7" t="s">
        <v>24</v>
      </c>
      <c r="J1249" s="5"/>
      <c r="K1249" s="8" t="str">
        <f>IF(AND(H1249&gt;0,J1249&gt;0),(J1249-H1249)/H1249,"")</f>
        <v/>
      </c>
      <c r="L1249" s="5"/>
      <c r="M1249" s="8" t="str">
        <f>IF(AND(J1249&gt;0,L1249&gt;0),(L1249-J1249)/J1249,IF(AND(H1249&gt;0,L1249&gt;0),(L1249-H1249)/H1249,""))</f>
        <v/>
      </c>
      <c r="N1249" s="6">
        <v>45677</v>
      </c>
      <c r="O1249" s="5">
        <v>898.42</v>
      </c>
      <c r="P1249" s="8" t="str">
        <f>IF(AND(L1249&gt;0,O1249&gt;0),(O1249-L1249)/L1249,"")</f>
        <v/>
      </c>
      <c r="Q1249" s="9"/>
      <c r="R1249" s="9">
        <v>1</v>
      </c>
      <c r="S1249" s="10">
        <f>IF(N1249&gt;0,TODAY()-N1249,"")</f>
        <v>434</v>
      </c>
    </row>
    <row r="1250" ht="17" customHeight="1" spans="1:19" x14ac:dyDescent="0.25">
      <c r="A1250" s="11" t="s">
        <v>1934</v>
      </c>
      <c r="B1250" s="11" t="s">
        <v>1935</v>
      </c>
      <c r="C1250" s="11" t="s">
        <v>2515</v>
      </c>
      <c r="D1250" s="11" t="s">
        <v>2514</v>
      </c>
      <c r="E1250" s="12">
        <v>11</v>
      </c>
      <c r="F1250" s="13">
        <v>898.4200000000001</v>
      </c>
      <c r="G1250" s="14">
        <v>45677</v>
      </c>
      <c r="H1250" s="13">
        <v>898.42</v>
      </c>
      <c r="I1250" s="15" t="s">
        <v>24</v>
      </c>
      <c r="J1250" s="13"/>
      <c r="K1250" s="16" t="str">
        <f>IF(AND(H1250&gt;0,J1250&gt;0),(J1250-H1250)/H1250,"")</f>
        <v/>
      </c>
      <c r="L1250" s="13"/>
      <c r="M1250" s="16" t="str">
        <f>IF(AND(J1250&gt;0,L1250&gt;0),(L1250-J1250)/J1250,IF(AND(H1250&gt;0,L1250&gt;0),(L1250-H1250)/H1250,""))</f>
        <v/>
      </c>
      <c r="N1250" s="14">
        <v>45677</v>
      </c>
      <c r="O1250" s="13">
        <v>898.42</v>
      </c>
      <c r="P1250" s="16" t="str">
        <f>IF(AND(L1250&gt;0,O1250&gt;0),(O1250-L1250)/L1250,"")</f>
        <v/>
      </c>
      <c r="Q1250" s="18"/>
      <c r="R1250" s="18">
        <v>1</v>
      </c>
      <c r="S1250" s="10">
        <f>IF(N1250&gt;0,TODAY()-N1250,"")</f>
        <v>434</v>
      </c>
    </row>
    <row r="1251" ht="17" customHeight="1" spans="1:19" x14ac:dyDescent="0.25">
      <c r="A1251" s="3" t="s">
        <v>1934</v>
      </c>
      <c r="B1251" s="3" t="s">
        <v>1935</v>
      </c>
      <c r="C1251" s="3" t="s">
        <v>2516</v>
      </c>
      <c r="D1251" s="3" t="s">
        <v>2517</v>
      </c>
      <c r="E1251" s="4">
        <v>10</v>
      </c>
      <c r="F1251" s="5">
        <v>700</v>
      </c>
      <c r="G1251" s="6">
        <v>45726</v>
      </c>
      <c r="H1251" s="5">
        <v>700</v>
      </c>
      <c r="I1251" s="7" t="s">
        <v>24</v>
      </c>
      <c r="J1251" s="5"/>
      <c r="K1251" s="8" t="str">
        <f>IF(AND(H1251&gt;0,J1251&gt;0),(J1251-H1251)/H1251,"")</f>
        <v/>
      </c>
      <c r="L1251" s="5"/>
      <c r="M1251" s="8" t="str">
        <f>IF(AND(J1251&gt;0,L1251&gt;0),(L1251-J1251)/J1251,IF(AND(H1251&gt;0,L1251&gt;0),(L1251-H1251)/H1251,""))</f>
        <v/>
      </c>
      <c r="N1251" s="6">
        <v>45840</v>
      </c>
      <c r="O1251" s="5">
        <v>700</v>
      </c>
      <c r="P1251" s="8" t="str">
        <f>IF(AND(L1251&gt;0,O1251&gt;0),(O1251-L1251)/L1251,"")</f>
        <v/>
      </c>
      <c r="Q1251" s="9">
        <v>57</v>
      </c>
      <c r="R1251" s="9">
        <v>3</v>
      </c>
      <c r="S1251" s="10">
        <f>IF(N1251&gt;0,TODAY()-N1251,"")</f>
        <v>271</v>
      </c>
    </row>
    <row r="1252" ht="17" customHeight="1" spans="1:19" x14ac:dyDescent="0.25">
      <c r="A1252" s="11" t="s">
        <v>1934</v>
      </c>
      <c r="B1252" s="11" t="s">
        <v>1935</v>
      </c>
      <c r="C1252" s="11" t="s">
        <v>2518</v>
      </c>
      <c r="D1252" s="11" t="s">
        <v>2519</v>
      </c>
      <c r="E1252" s="12">
        <v>300</v>
      </c>
      <c r="F1252" s="13">
        <v>201.5372</v>
      </c>
      <c r="G1252" s="14">
        <v>45881</v>
      </c>
      <c r="H1252" s="13">
        <v>201.54</v>
      </c>
      <c r="I1252" s="15" t="s">
        <v>24</v>
      </c>
      <c r="J1252" s="13"/>
      <c r="K1252" s="16" t="str">
        <f>IF(AND(H1252&gt;0,J1252&gt;0),(J1252-H1252)/H1252,"")</f>
        <v/>
      </c>
      <c r="L1252" s="13"/>
      <c r="M1252" s="16" t="str">
        <f>IF(AND(J1252&gt;0,L1252&gt;0),(L1252-J1252)/J1252,IF(AND(H1252&gt;0,L1252&gt;0),(L1252-H1252)/H1252,""))</f>
        <v/>
      </c>
      <c r="N1252" s="14">
        <v>45881</v>
      </c>
      <c r="O1252" s="13">
        <v>201.54</v>
      </c>
      <c r="P1252" s="16" t="str">
        <f>IF(AND(L1252&gt;0,O1252&gt;0),(O1252-L1252)/L1252,"")</f>
        <v/>
      </c>
      <c r="Q1252" s="18"/>
      <c r="R1252" s="18">
        <v>1</v>
      </c>
      <c r="S1252" s="10">
        <f>IF(N1252&gt;0,TODAY()-N1252,"")</f>
        <v>230</v>
      </c>
    </row>
    <row r="1253" ht="17" customHeight="1" spans="1:19" x14ac:dyDescent="0.25">
      <c r="A1253" s="3" t="s">
        <v>1934</v>
      </c>
      <c r="B1253" s="3" t="s">
        <v>1935</v>
      </c>
      <c r="C1253" s="3" t="s">
        <v>2520</v>
      </c>
      <c r="D1253" s="3" t="s">
        <v>2521</v>
      </c>
      <c r="E1253" s="4">
        <v>100</v>
      </c>
      <c r="F1253" s="5">
        <v>143.432725</v>
      </c>
      <c r="G1253" s="6">
        <v>45881</v>
      </c>
      <c r="H1253" s="5">
        <v>143.43</v>
      </c>
      <c r="I1253" s="7" t="s">
        <v>24</v>
      </c>
      <c r="J1253" s="5"/>
      <c r="K1253" s="8" t="str">
        <f>IF(AND(H1253&gt;0,J1253&gt;0),(J1253-H1253)/H1253,"")</f>
        <v/>
      </c>
      <c r="L1253" s="5"/>
      <c r="M1253" s="8" t="str">
        <f>IF(AND(J1253&gt;0,L1253&gt;0),(L1253-J1253)/J1253,IF(AND(H1253&gt;0,L1253&gt;0),(L1253-H1253)/H1253,""))</f>
        <v/>
      </c>
      <c r="N1253" s="6">
        <v>45881</v>
      </c>
      <c r="O1253" s="5">
        <v>143.43</v>
      </c>
      <c r="P1253" s="8" t="str">
        <f>IF(AND(L1253&gt;0,O1253&gt;0),(O1253-L1253)/L1253,"")</f>
        <v/>
      </c>
      <c r="Q1253" s="9"/>
      <c r="R1253" s="9">
        <v>1</v>
      </c>
      <c r="S1253" s="10">
        <f>IF(N1253&gt;0,TODAY()-N1253,"")</f>
        <v>230</v>
      </c>
    </row>
    <row r="1254" ht="17" customHeight="1" spans="1:19" x14ac:dyDescent="0.25">
      <c r="A1254" s="11" t="s">
        <v>1934</v>
      </c>
      <c r="B1254" s="11" t="s">
        <v>1935</v>
      </c>
      <c r="C1254" s="11" t="s">
        <v>2522</v>
      </c>
      <c r="D1254" s="11" t="s">
        <v>2523</v>
      </c>
      <c r="E1254" s="12">
        <v>120</v>
      </c>
      <c r="F1254" s="13">
        <v>52.822250000000004</v>
      </c>
      <c r="G1254" s="14">
        <v>45881</v>
      </c>
      <c r="H1254" s="13">
        <v>52.82</v>
      </c>
      <c r="I1254" s="15" t="s">
        <v>24</v>
      </c>
      <c r="J1254" s="13"/>
      <c r="K1254" s="16" t="str">
        <f>IF(AND(H1254&gt;0,J1254&gt;0),(J1254-H1254)/H1254,"")</f>
        <v/>
      </c>
      <c r="L1254" s="13"/>
      <c r="M1254" s="16" t="str">
        <f>IF(AND(J1254&gt;0,L1254&gt;0),(L1254-J1254)/J1254,IF(AND(H1254&gt;0,L1254&gt;0),(L1254-H1254)/H1254,""))</f>
        <v/>
      </c>
      <c r="N1254" s="14">
        <v>45881</v>
      </c>
      <c r="O1254" s="13">
        <v>52.82</v>
      </c>
      <c r="P1254" s="16" t="str">
        <f>IF(AND(L1254&gt;0,O1254&gt;0),(O1254-L1254)/L1254,"")</f>
        <v/>
      </c>
      <c r="Q1254" s="18"/>
      <c r="R1254" s="18">
        <v>1</v>
      </c>
      <c r="S1254" s="10">
        <f>IF(N1254&gt;0,TODAY()-N1254,"")</f>
        <v>230</v>
      </c>
    </row>
    <row r="1255" ht="17" customHeight="1" spans="1:19" x14ac:dyDescent="0.25">
      <c r="A1255" s="3" t="s">
        <v>1934</v>
      </c>
      <c r="B1255" s="3" t="s">
        <v>1935</v>
      </c>
      <c r="C1255" s="3" t="s">
        <v>2524</v>
      </c>
      <c r="D1255" s="3" t="s">
        <v>2525</v>
      </c>
      <c r="E1255" s="4">
        <v>80</v>
      </c>
      <c r="F1255" s="5">
        <v>197.880275</v>
      </c>
      <c r="G1255" s="6">
        <v>45881</v>
      </c>
      <c r="H1255" s="5">
        <v>197.88</v>
      </c>
      <c r="I1255" s="7" t="s">
        <v>24</v>
      </c>
      <c r="J1255" s="5"/>
      <c r="K1255" s="8" t="str">
        <f>IF(AND(H1255&gt;0,J1255&gt;0),(J1255-H1255)/H1255,"")</f>
        <v/>
      </c>
      <c r="L1255" s="5"/>
      <c r="M1255" s="8" t="str">
        <f>IF(AND(J1255&gt;0,L1255&gt;0),(L1255-J1255)/J1255,IF(AND(H1255&gt;0,L1255&gt;0),(L1255-H1255)/H1255,""))</f>
        <v/>
      </c>
      <c r="N1255" s="6">
        <v>45881</v>
      </c>
      <c r="O1255" s="5">
        <v>197.88</v>
      </c>
      <c r="P1255" s="8" t="str">
        <f>IF(AND(L1255&gt;0,O1255&gt;0),(O1255-L1255)/L1255,"")</f>
        <v/>
      </c>
      <c r="Q1255" s="9"/>
      <c r="R1255" s="9">
        <v>1</v>
      </c>
      <c r="S1255" s="10">
        <f>IF(N1255&gt;0,TODAY()-N1255,"")</f>
        <v>230</v>
      </c>
    </row>
    <row r="1256" ht="17" customHeight="1" spans="1:19" x14ac:dyDescent="0.25">
      <c r="A1256" s="11" t="s">
        <v>1934</v>
      </c>
      <c r="B1256" s="11" t="s">
        <v>1935</v>
      </c>
      <c r="C1256" s="11" t="s">
        <v>2526</v>
      </c>
      <c r="D1256" s="11" t="s">
        <v>2527</v>
      </c>
      <c r="E1256" s="12">
        <v>48</v>
      </c>
      <c r="F1256" s="13">
        <v>409.57559999999995</v>
      </c>
      <c r="G1256" s="14">
        <v>45881</v>
      </c>
      <c r="H1256" s="13">
        <v>409.58</v>
      </c>
      <c r="I1256" s="15" t="s">
        <v>24</v>
      </c>
      <c r="J1256" s="13"/>
      <c r="K1256" s="16" t="str">
        <f>IF(AND(H1256&gt;0,J1256&gt;0),(J1256-H1256)/H1256,"")</f>
        <v/>
      </c>
      <c r="L1256" s="13"/>
      <c r="M1256" s="16" t="str">
        <f>IF(AND(J1256&gt;0,L1256&gt;0),(L1256-J1256)/J1256,IF(AND(H1256&gt;0,L1256&gt;0),(L1256-H1256)/H1256,""))</f>
        <v/>
      </c>
      <c r="N1256" s="14">
        <v>45881</v>
      </c>
      <c r="O1256" s="13">
        <v>409.58</v>
      </c>
      <c r="P1256" s="16" t="str">
        <f>IF(AND(L1256&gt;0,O1256&gt;0),(O1256-L1256)/L1256,"")</f>
        <v/>
      </c>
      <c r="Q1256" s="18"/>
      <c r="R1256" s="18">
        <v>1</v>
      </c>
      <c r="S1256" s="10">
        <f>IF(N1256&gt;0,TODAY()-N1256,"")</f>
        <v>230</v>
      </c>
    </row>
    <row r="1257" ht="17" customHeight="1" spans="1:19" x14ac:dyDescent="0.25">
      <c r="A1257" s="3" t="s">
        <v>1934</v>
      </c>
      <c r="B1257" s="3" t="s">
        <v>1935</v>
      </c>
      <c r="C1257" s="3" t="s">
        <v>2528</v>
      </c>
      <c r="D1257" s="3" t="s">
        <v>2529</v>
      </c>
      <c r="E1257" s="4">
        <v>22</v>
      </c>
      <c r="F1257" s="5">
        <v>320.45454545454544</v>
      </c>
      <c r="G1257" s="6">
        <v>45726</v>
      </c>
      <c r="H1257" s="5">
        <v>275</v>
      </c>
      <c r="I1257" s="7" t="s">
        <v>24</v>
      </c>
      <c r="J1257" s="5"/>
      <c r="K1257" s="8" t="str">
        <f>IF(AND(H1257&gt;0,J1257&gt;0),(J1257-H1257)/H1257,"")</f>
        <v/>
      </c>
      <c r="L1257" s="5"/>
      <c r="M1257" s="8" t="str">
        <f>IF(AND(J1257&gt;0,L1257&gt;0),(L1257-J1257)/J1257,IF(AND(H1257&gt;0,L1257&gt;0),(L1257-H1257)/H1257,""))</f>
        <v/>
      </c>
      <c r="N1257" s="6">
        <v>45925</v>
      </c>
      <c r="O1257" s="5">
        <v>325</v>
      </c>
      <c r="P1257" s="8" t="str">
        <f>IF(AND(L1257&gt;0,O1257&gt;0),(O1257-L1257)/L1257,"")</f>
        <v/>
      </c>
      <c r="Q1257" s="9">
        <v>66</v>
      </c>
      <c r="R1257" s="9">
        <v>4</v>
      </c>
      <c r="S1257" s="10">
        <f>IF(N1257&gt;0,TODAY()-N1257,"")</f>
        <v>186</v>
      </c>
    </row>
    <row r="1258" ht="17" customHeight="1" spans="1:19" x14ac:dyDescent="0.25">
      <c r="A1258" s="11" t="s">
        <v>1934</v>
      </c>
      <c r="B1258" s="11" t="s">
        <v>1935</v>
      </c>
      <c r="C1258" s="11" t="s">
        <v>2530</v>
      </c>
      <c r="D1258" s="11" t="s">
        <v>2531</v>
      </c>
      <c r="E1258" s="12">
        <v>72</v>
      </c>
      <c r="F1258" s="13">
        <v>131</v>
      </c>
      <c r="G1258" s="14">
        <v>45673</v>
      </c>
      <c r="H1258" s="13">
        <v>146.5</v>
      </c>
      <c r="I1258" s="15" t="s">
        <v>24</v>
      </c>
      <c r="J1258" s="13"/>
      <c r="K1258" s="16" t="str">
        <f>IF(AND(H1258&gt;0,J1258&gt;0),(J1258-H1258)/H1258,"")</f>
        <v/>
      </c>
      <c r="L1258" s="13"/>
      <c r="M1258" s="16" t="str">
        <f>IF(AND(J1258&gt;0,L1258&gt;0),(L1258-J1258)/J1258,IF(AND(H1258&gt;0,L1258&gt;0),(L1258-H1258)/H1258,""))</f>
        <v/>
      </c>
      <c r="N1258" s="14">
        <v>45730</v>
      </c>
      <c r="O1258" s="13">
        <v>115.5</v>
      </c>
      <c r="P1258" s="16" t="str">
        <f>IF(AND(L1258&gt;0,O1258&gt;0),(O1258-L1258)/L1258,"")</f>
        <v/>
      </c>
      <c r="Q1258" s="18">
        <v>57</v>
      </c>
      <c r="R1258" s="18">
        <v>2</v>
      </c>
      <c r="S1258" s="10">
        <f>IF(N1258&gt;0,TODAY()-N1258,"")</f>
        <v>381</v>
      </c>
    </row>
    <row r="1259" ht="17" customHeight="1" spans="1:19" x14ac:dyDescent="0.25">
      <c r="A1259" s="3" t="s">
        <v>1934</v>
      </c>
      <c r="B1259" s="3" t="s">
        <v>1935</v>
      </c>
      <c r="C1259" s="3" t="s">
        <v>2532</v>
      </c>
      <c r="D1259" s="3" t="s">
        <v>2533</v>
      </c>
      <c r="E1259" s="4">
        <v>180</v>
      </c>
      <c r="F1259" s="5">
        <v>132.062</v>
      </c>
      <c r="G1259" s="6">
        <v>45673</v>
      </c>
      <c r="H1259" s="5">
        <v>146.5</v>
      </c>
      <c r="I1259" s="7" t="s">
        <v>24</v>
      </c>
      <c r="J1259" s="5"/>
      <c r="K1259" s="8" t="str">
        <f>IF(AND(H1259&gt;0,J1259&gt;0),(J1259-H1259)/H1259,"")</f>
        <v/>
      </c>
      <c r="L1259" s="5"/>
      <c r="M1259" s="8" t="str">
        <f>IF(AND(J1259&gt;0,L1259&gt;0),(L1259-J1259)/J1259,IF(AND(H1259&gt;0,L1259&gt;0),(L1259-H1259)/H1259,""))</f>
        <v/>
      </c>
      <c r="N1259" s="6">
        <v>45924</v>
      </c>
      <c r="O1259" s="5">
        <v>132.77</v>
      </c>
      <c r="P1259" s="8" t="str">
        <f>IF(AND(L1259&gt;0,O1259&gt;0),(O1259-L1259)/L1259,"")</f>
        <v/>
      </c>
      <c r="Q1259" s="9">
        <v>126</v>
      </c>
      <c r="R1259" s="9">
        <v>3</v>
      </c>
      <c r="S1259" s="10">
        <f>IF(N1259&gt;0,TODAY()-N1259,"")</f>
        <v>187</v>
      </c>
    </row>
    <row r="1260" ht="17" customHeight="1" spans="1:19" x14ac:dyDescent="0.25">
      <c r="A1260" s="11" t="s">
        <v>1934</v>
      </c>
      <c r="B1260" s="11" t="s">
        <v>1935</v>
      </c>
      <c r="C1260" s="11" t="s">
        <v>2534</v>
      </c>
      <c r="D1260" s="11" t="s">
        <v>2535</v>
      </c>
      <c r="E1260" s="12">
        <v>74</v>
      </c>
      <c r="F1260" s="13">
        <v>53.641891891891895</v>
      </c>
      <c r="G1260" s="14">
        <v>45730</v>
      </c>
      <c r="H1260" s="13">
        <v>63</v>
      </c>
      <c r="I1260" s="15" t="s">
        <v>24</v>
      </c>
      <c r="J1260" s="13"/>
      <c r="K1260" s="16" t="str">
        <f>IF(AND(H1260&gt;0,J1260&gt;0),(J1260-H1260)/H1260,"")</f>
        <v/>
      </c>
      <c r="L1260" s="13"/>
      <c r="M1260" s="16" t="str">
        <f>IF(AND(J1260&gt;0,L1260&gt;0),(L1260-J1260)/J1260,IF(AND(H1260&gt;0,L1260&gt;0),(L1260-H1260)/H1260,""))</f>
        <v/>
      </c>
      <c r="N1260" s="14">
        <v>45824</v>
      </c>
      <c r="O1260" s="13">
        <v>49.15</v>
      </c>
      <c r="P1260" s="16" t="str">
        <f>IF(AND(L1260&gt;0,O1260&gt;0),(O1260-L1260)/L1260,"")</f>
        <v/>
      </c>
      <c r="Q1260" s="18">
        <v>94</v>
      </c>
      <c r="R1260" s="18">
        <v>2</v>
      </c>
      <c r="S1260" s="10">
        <f>IF(N1260&gt;0,TODAY()-N1260,"")</f>
        <v>287</v>
      </c>
    </row>
    <row r="1261" ht="17" customHeight="1" spans="1:19" x14ac:dyDescent="0.25">
      <c r="A1261" s="3" t="s">
        <v>1934</v>
      </c>
      <c r="B1261" s="3" t="s">
        <v>1935</v>
      </c>
      <c r="C1261" s="3" t="s">
        <v>2536</v>
      </c>
      <c r="D1261" s="3" t="s">
        <v>2537</v>
      </c>
      <c r="E1261" s="4">
        <v>60</v>
      </c>
      <c r="F1261" s="5">
        <v>406</v>
      </c>
      <c r="G1261" s="6">
        <v>45730</v>
      </c>
      <c r="H1261" s="5">
        <v>406</v>
      </c>
      <c r="I1261" s="7" t="s">
        <v>24</v>
      </c>
      <c r="J1261" s="5"/>
      <c r="K1261" s="8" t="str">
        <f>IF(AND(H1261&gt;0,J1261&gt;0),(J1261-H1261)/H1261,"")</f>
        <v/>
      </c>
      <c r="L1261" s="5"/>
      <c r="M1261" s="8" t="str">
        <f>IF(AND(J1261&gt;0,L1261&gt;0),(L1261-J1261)/J1261,IF(AND(H1261&gt;0,L1261&gt;0),(L1261-H1261)/H1261,""))</f>
        <v/>
      </c>
      <c r="N1261" s="6">
        <v>45742</v>
      </c>
      <c r="O1261" s="5">
        <v>406</v>
      </c>
      <c r="P1261" s="8" t="str">
        <f>IF(AND(L1261&gt;0,O1261&gt;0),(O1261-L1261)/L1261,"")</f>
        <v/>
      </c>
      <c r="Q1261" s="9">
        <v>12</v>
      </c>
      <c r="R1261" s="9">
        <v>2</v>
      </c>
      <c r="S1261" s="10">
        <f>IF(N1261&gt;0,TODAY()-N1261,"")</f>
        <v>369</v>
      </c>
    </row>
    <row r="1262" ht="17" customHeight="1" spans="1:19" x14ac:dyDescent="0.25">
      <c r="A1262" s="11" t="s">
        <v>1934</v>
      </c>
      <c r="B1262" s="11" t="s">
        <v>1935</v>
      </c>
      <c r="C1262" s="11" t="s">
        <v>2538</v>
      </c>
      <c r="D1262" s="11" t="s">
        <v>2539</v>
      </c>
      <c r="E1262" s="12">
        <v>125</v>
      </c>
      <c r="F1262" s="13">
        <v>532.2533599999999</v>
      </c>
      <c r="G1262" s="14">
        <v>45797</v>
      </c>
      <c r="H1262" s="13">
        <v>532.25</v>
      </c>
      <c r="I1262" s="15" t="s">
        <v>24</v>
      </c>
      <c r="J1262" s="13"/>
      <c r="K1262" s="16" t="str">
        <f>IF(AND(H1262&gt;0,J1262&gt;0),(J1262-H1262)/H1262,"")</f>
        <v/>
      </c>
      <c r="L1262" s="13"/>
      <c r="M1262" s="16" t="str">
        <f>IF(AND(J1262&gt;0,L1262&gt;0),(L1262-J1262)/J1262,IF(AND(H1262&gt;0,L1262&gt;0),(L1262-H1262)/H1262,""))</f>
        <v/>
      </c>
      <c r="N1262" s="14">
        <v>45797</v>
      </c>
      <c r="O1262" s="13">
        <v>532.25</v>
      </c>
      <c r="P1262" s="16" t="str">
        <f>IF(AND(L1262&gt;0,O1262&gt;0),(O1262-L1262)/L1262,"")</f>
        <v/>
      </c>
      <c r="Q1262" s="18"/>
      <c r="R1262" s="18">
        <v>1</v>
      </c>
      <c r="S1262" s="10">
        <f>IF(N1262&gt;0,TODAY()-N1262,"")</f>
        <v>314</v>
      </c>
    </row>
    <row r="1263" ht="17" customHeight="1" spans="1:19" x14ac:dyDescent="0.25">
      <c r="A1263" s="3" t="s">
        <v>1934</v>
      </c>
      <c r="B1263" s="3" t="s">
        <v>1935</v>
      </c>
      <c r="C1263" s="3" t="s">
        <v>2540</v>
      </c>
      <c r="D1263" s="3" t="s">
        <v>2541</v>
      </c>
      <c r="E1263" s="4">
        <v>12</v>
      </c>
      <c r="F1263" s="5">
        <v>1743.405</v>
      </c>
      <c r="G1263" s="6">
        <v>45727</v>
      </c>
      <c r="H1263" s="5">
        <v>1635.3</v>
      </c>
      <c r="I1263" s="7" t="s">
        <v>24</v>
      </c>
      <c r="J1263" s="5"/>
      <c r="K1263" s="8" t="str">
        <f>IF(AND(H1263&gt;0,J1263&gt;0),(J1263-H1263)/H1263,"")</f>
        <v/>
      </c>
      <c r="L1263" s="5"/>
      <c r="M1263" s="8" t="str">
        <f>IF(AND(J1263&gt;0,L1263&gt;0),(L1263-J1263)/J1263,IF(AND(H1263&gt;0,L1263&gt;0),(L1263-H1263)/H1263,""))</f>
        <v/>
      </c>
      <c r="N1263" s="6">
        <v>45824</v>
      </c>
      <c r="O1263" s="5">
        <v>1779.44</v>
      </c>
      <c r="P1263" s="8" t="str">
        <f>IF(AND(L1263&gt;0,O1263&gt;0),(O1263-L1263)/L1263,"")</f>
        <v/>
      </c>
      <c r="Q1263" s="9">
        <v>97</v>
      </c>
      <c r="R1263" s="9">
        <v>2</v>
      </c>
      <c r="S1263" s="10">
        <f>IF(N1263&gt;0,TODAY()-N1263,"")</f>
        <v>287</v>
      </c>
    </row>
    <row r="1264" ht="17" customHeight="1" spans="1:19" x14ac:dyDescent="0.25">
      <c r="A1264" s="11" t="s">
        <v>1934</v>
      </c>
      <c r="B1264" s="11" t="s">
        <v>1935</v>
      </c>
      <c r="C1264" s="11" t="s">
        <v>2542</v>
      </c>
      <c r="D1264" s="11" t="s">
        <v>2543</v>
      </c>
      <c r="E1264" s="12">
        <v>100</v>
      </c>
      <c r="F1264" s="13">
        <v>138.25</v>
      </c>
      <c r="G1264" s="14">
        <v>45824</v>
      </c>
      <c r="H1264" s="13">
        <v>138.25</v>
      </c>
      <c r="I1264" s="15" t="s">
        <v>24</v>
      </c>
      <c r="J1264" s="13"/>
      <c r="K1264" s="16" t="str">
        <f>IF(AND(H1264&gt;0,J1264&gt;0),(J1264-H1264)/H1264,"")</f>
        <v/>
      </c>
      <c r="L1264" s="13"/>
      <c r="M1264" s="16" t="str">
        <f>IF(AND(J1264&gt;0,L1264&gt;0),(L1264-J1264)/J1264,IF(AND(H1264&gt;0,L1264&gt;0),(L1264-H1264)/H1264,""))</f>
        <v/>
      </c>
      <c r="N1264" s="14">
        <v>45824</v>
      </c>
      <c r="O1264" s="13">
        <v>138.25</v>
      </c>
      <c r="P1264" s="16" t="str">
        <f>IF(AND(L1264&gt;0,O1264&gt;0),(O1264-L1264)/L1264,"")</f>
        <v/>
      </c>
      <c r="Q1264" s="18"/>
      <c r="R1264" s="18">
        <v>1</v>
      </c>
      <c r="S1264" s="10">
        <f>IF(N1264&gt;0,TODAY()-N1264,"")</f>
        <v>287</v>
      </c>
    </row>
    <row r="1265" ht="17" customHeight="1" spans="1:19" x14ac:dyDescent="0.25">
      <c r="A1265" s="3" t="s">
        <v>1934</v>
      </c>
      <c r="B1265" s="3" t="s">
        <v>1935</v>
      </c>
      <c r="C1265" s="3" t="s">
        <v>2544</v>
      </c>
      <c r="D1265" s="3" t="s">
        <v>2545</v>
      </c>
      <c r="E1265" s="4">
        <v>48</v>
      </c>
      <c r="F1265" s="5">
        <v>354.035</v>
      </c>
      <c r="G1265" s="6">
        <v>45730</v>
      </c>
      <c r="H1265" s="5">
        <v>330.75</v>
      </c>
      <c r="I1265" s="7" t="s">
        <v>24</v>
      </c>
      <c r="J1265" s="5"/>
      <c r="K1265" s="8" t="str">
        <f>IF(AND(H1265&gt;0,J1265&gt;0),(J1265-H1265)/H1265,"")</f>
        <v/>
      </c>
      <c r="L1265" s="5"/>
      <c r="M1265" s="8" t="str">
        <f>IF(AND(J1265&gt;0,L1265&gt;0),(L1265-J1265)/J1265,IF(AND(H1265&gt;0,L1265&gt;0),(L1265-H1265)/H1265,""))</f>
        <v/>
      </c>
      <c r="N1265" s="6">
        <v>45742</v>
      </c>
      <c r="O1265" s="5">
        <v>377.32</v>
      </c>
      <c r="P1265" s="8" t="str">
        <f>IF(AND(L1265&gt;0,O1265&gt;0),(O1265-L1265)/L1265,"")</f>
        <v/>
      </c>
      <c r="Q1265" s="9">
        <v>12</v>
      </c>
      <c r="R1265" s="9">
        <v>2</v>
      </c>
      <c r="S1265" s="10">
        <f>IF(N1265&gt;0,TODAY()-N1265,"")</f>
        <v>369</v>
      </c>
    </row>
    <row r="1266" ht="17" customHeight="1" spans="1:19" x14ac:dyDescent="0.25">
      <c r="A1266" s="11" t="s">
        <v>1934</v>
      </c>
      <c r="B1266" s="11" t="s">
        <v>1935</v>
      </c>
      <c r="C1266" s="11" t="s">
        <v>2546</v>
      </c>
      <c r="D1266" s="11" t="s">
        <v>2547</v>
      </c>
      <c r="E1266" s="12">
        <v>100</v>
      </c>
      <c r="F1266" s="13">
        <v>165.035</v>
      </c>
      <c r="G1266" s="14">
        <v>45742</v>
      </c>
      <c r="H1266" s="13">
        <v>191.82</v>
      </c>
      <c r="I1266" s="15" t="s">
        <v>24</v>
      </c>
      <c r="J1266" s="13"/>
      <c r="K1266" s="16" t="str">
        <f>IF(AND(H1266&gt;0,J1266&gt;0),(J1266-H1266)/H1266,"")</f>
        <v/>
      </c>
      <c r="L1266" s="13"/>
      <c r="M1266" s="16" t="str">
        <f>IF(AND(J1266&gt;0,L1266&gt;0),(L1266-J1266)/J1266,IF(AND(H1266&gt;0,L1266&gt;0),(L1266-H1266)/H1266,""))</f>
        <v/>
      </c>
      <c r="N1266" s="14">
        <v>45824</v>
      </c>
      <c r="O1266" s="13">
        <v>138.25</v>
      </c>
      <c r="P1266" s="16" t="str">
        <f>IF(AND(L1266&gt;0,O1266&gt;0),(O1266-L1266)/L1266,"")</f>
        <v/>
      </c>
      <c r="Q1266" s="18">
        <v>82</v>
      </c>
      <c r="R1266" s="18">
        <v>2</v>
      </c>
      <c r="S1266" s="10">
        <f>IF(N1266&gt;0,TODAY()-N1266,"")</f>
        <v>287</v>
      </c>
    </row>
    <row r="1267" ht="17" customHeight="1" spans="1:19" x14ac:dyDescent="0.25">
      <c r="A1267" s="3" t="s">
        <v>1934</v>
      </c>
      <c r="B1267" s="3" t="s">
        <v>1935</v>
      </c>
      <c r="C1267" s="3" t="s">
        <v>2548</v>
      </c>
      <c r="D1267" s="3" t="s">
        <v>2549</v>
      </c>
      <c r="E1267" s="4">
        <v>24</v>
      </c>
      <c r="F1267" s="5">
        <v>280</v>
      </c>
      <c r="G1267" s="6">
        <v>45730</v>
      </c>
      <c r="H1267" s="5">
        <v>280</v>
      </c>
      <c r="I1267" s="7" t="s">
        <v>24</v>
      </c>
      <c r="J1267" s="5"/>
      <c r="K1267" s="8" t="str">
        <f>IF(AND(H1267&gt;0,J1267&gt;0),(J1267-H1267)/H1267,"")</f>
        <v/>
      </c>
      <c r="L1267" s="5"/>
      <c r="M1267" s="8" t="str">
        <f>IF(AND(J1267&gt;0,L1267&gt;0),(L1267-J1267)/J1267,IF(AND(H1267&gt;0,L1267&gt;0),(L1267-H1267)/H1267,""))</f>
        <v/>
      </c>
      <c r="N1267" s="6">
        <v>45730</v>
      </c>
      <c r="O1267" s="5">
        <v>280</v>
      </c>
      <c r="P1267" s="8" t="str">
        <f>IF(AND(L1267&gt;0,O1267&gt;0),(O1267-L1267)/L1267,"")</f>
        <v/>
      </c>
      <c r="Q1267" s="9"/>
      <c r="R1267" s="9">
        <v>1</v>
      </c>
      <c r="S1267" s="10">
        <f>IF(N1267&gt;0,TODAY()-N1267,"")</f>
        <v>381</v>
      </c>
    </row>
    <row r="1268" ht="17" customHeight="1" spans="1:19" x14ac:dyDescent="0.25">
      <c r="A1268" s="11" t="s">
        <v>1934</v>
      </c>
      <c r="B1268" s="11" t="s">
        <v>1935</v>
      </c>
      <c r="C1268" s="11" t="s">
        <v>2550</v>
      </c>
      <c r="D1268" s="11" t="s">
        <v>2551</v>
      </c>
      <c r="E1268" s="12">
        <v>50</v>
      </c>
      <c r="F1268" s="13">
        <v>285.25</v>
      </c>
      <c r="G1268" s="14">
        <v>45824</v>
      </c>
      <c r="H1268" s="13">
        <v>285.25</v>
      </c>
      <c r="I1268" s="15" t="s">
        <v>24</v>
      </c>
      <c r="J1268" s="13"/>
      <c r="K1268" s="16" t="str">
        <f>IF(AND(H1268&gt;0,J1268&gt;0),(J1268-H1268)/H1268,"")</f>
        <v/>
      </c>
      <c r="L1268" s="13"/>
      <c r="M1268" s="16" t="str">
        <f>IF(AND(J1268&gt;0,L1268&gt;0),(L1268-J1268)/J1268,IF(AND(H1268&gt;0,L1268&gt;0),(L1268-H1268)/H1268,""))</f>
        <v/>
      </c>
      <c r="N1268" s="14">
        <v>45824</v>
      </c>
      <c r="O1268" s="13">
        <v>285.25</v>
      </c>
      <c r="P1268" s="16" t="str">
        <f>IF(AND(L1268&gt;0,O1268&gt;0),(O1268-L1268)/L1268,"")</f>
        <v/>
      </c>
      <c r="Q1268" s="18"/>
      <c r="R1268" s="18">
        <v>1</v>
      </c>
      <c r="S1268" s="10">
        <f>IF(N1268&gt;0,TODAY()-N1268,"")</f>
        <v>287</v>
      </c>
    </row>
    <row r="1269" ht="17" customHeight="1" spans="1:19" x14ac:dyDescent="0.25">
      <c r="A1269" s="3" t="s">
        <v>1934</v>
      </c>
      <c r="B1269" s="3" t="s">
        <v>1935</v>
      </c>
      <c r="C1269" s="3" t="s">
        <v>2552</v>
      </c>
      <c r="D1269" s="3" t="s">
        <v>2553</v>
      </c>
      <c r="E1269" s="4">
        <v>66</v>
      </c>
      <c r="F1269" s="5">
        <v>160</v>
      </c>
      <c r="G1269" s="6">
        <v>45726</v>
      </c>
      <c r="H1269" s="5">
        <v>160</v>
      </c>
      <c r="I1269" s="7" t="s">
        <v>57</v>
      </c>
      <c r="J1269" s="5">
        <v>160</v>
      </c>
      <c r="K1269" s="24">
        <f>IF(AND(H1269&gt;0,J1269&gt;0),(J1269-H1269)/H1269,"")</f>
        <v>0</v>
      </c>
      <c r="L1269" s="5"/>
      <c r="M1269" s="8" t="str">
        <f>IF(AND(J1269&gt;0,L1269&gt;0),(L1269-J1269)/J1269,IF(AND(H1269&gt;0,L1269&gt;0),(L1269-H1269)/H1269,""))</f>
        <v/>
      </c>
      <c r="N1269" s="6">
        <v>45951</v>
      </c>
      <c r="O1269" s="5">
        <v>160</v>
      </c>
      <c r="P1269" s="8" t="str">
        <f>IF(AND(L1269&gt;0,O1269&gt;0),(O1269-L1269)/L1269,"")</f>
        <v/>
      </c>
      <c r="Q1269" s="9">
        <v>56</v>
      </c>
      <c r="R1269" s="9">
        <v>5</v>
      </c>
      <c r="S1269" s="21">
        <f>IF(N1269&gt;0,TODAY()-N1269,"")</f>
        <v>160</v>
      </c>
    </row>
    <row r="1270" ht="17" customHeight="1" spans="1:19" x14ac:dyDescent="0.25">
      <c r="A1270" s="11" t="s">
        <v>1934</v>
      </c>
      <c r="B1270" s="11" t="s">
        <v>1935</v>
      </c>
      <c r="C1270" s="11" t="s">
        <v>2554</v>
      </c>
      <c r="D1270" s="11" t="s">
        <v>2555</v>
      </c>
      <c r="E1270" s="12">
        <v>53</v>
      </c>
      <c r="F1270" s="13">
        <v>170</v>
      </c>
      <c r="G1270" s="14">
        <v>45726</v>
      </c>
      <c r="H1270" s="13">
        <v>170</v>
      </c>
      <c r="I1270" s="15" t="s">
        <v>60</v>
      </c>
      <c r="J1270" s="13">
        <v>170</v>
      </c>
      <c r="K1270" s="17">
        <f>IF(AND(H1270&gt;0,J1270&gt;0),(J1270-H1270)/H1270,"")</f>
        <v>0</v>
      </c>
      <c r="L1270" s="13"/>
      <c r="M1270" s="16" t="str">
        <f>IF(AND(J1270&gt;0,L1270&gt;0),(L1270-J1270)/J1270,IF(AND(H1270&gt;0,L1270&gt;0),(L1270-H1270)/H1270,""))</f>
        <v/>
      </c>
      <c r="N1270" s="14">
        <v>45972</v>
      </c>
      <c r="O1270" s="13">
        <v>170</v>
      </c>
      <c r="P1270" s="16" t="str">
        <f>IF(AND(L1270&gt;0,O1270&gt;0),(O1270-L1270)/L1270,"")</f>
        <v/>
      </c>
      <c r="Q1270" s="18">
        <v>62</v>
      </c>
      <c r="R1270" s="18">
        <v>5</v>
      </c>
      <c r="S1270" s="21">
        <f>IF(N1270&gt;0,TODAY()-N1270,"")</f>
        <v>139</v>
      </c>
    </row>
    <row r="1271" ht="17" customHeight="1" spans="1:19" x14ac:dyDescent="0.25">
      <c r="A1271" s="3" t="s">
        <v>1934</v>
      </c>
      <c r="B1271" s="3" t="s">
        <v>1935</v>
      </c>
      <c r="C1271" s="3" t="s">
        <v>2556</v>
      </c>
      <c r="D1271" s="3" t="s">
        <v>2557</v>
      </c>
      <c r="E1271" s="4">
        <v>1700</v>
      </c>
      <c r="F1271" s="5">
        <v>2.6176470588235294</v>
      </c>
      <c r="G1271" s="6">
        <v>45692</v>
      </c>
      <c r="H1271" s="5">
        <v>3.5</v>
      </c>
      <c r="I1271" s="7" t="s">
        <v>24</v>
      </c>
      <c r="J1271" s="5"/>
      <c r="K1271" s="8" t="str">
        <f>IF(AND(H1271&gt;0,J1271&gt;0),(J1271-H1271)/H1271,"")</f>
        <v/>
      </c>
      <c r="L1271" s="5"/>
      <c r="M1271" s="8" t="str">
        <f>IF(AND(J1271&gt;0,L1271&gt;0),(L1271-J1271)/J1271,IF(AND(H1271&gt;0,L1271&gt;0),(L1271-H1271)/H1271,""))</f>
        <v/>
      </c>
      <c r="N1271" s="6">
        <v>45841</v>
      </c>
      <c r="O1271" s="5">
        <v>2</v>
      </c>
      <c r="P1271" s="8" t="str">
        <f>IF(AND(L1271&gt;0,O1271&gt;0),(O1271-L1271)/L1271,"")</f>
        <v/>
      </c>
      <c r="Q1271" s="9">
        <v>75</v>
      </c>
      <c r="R1271" s="9">
        <v>3</v>
      </c>
      <c r="S1271" s="10">
        <f>IF(N1271&gt;0,TODAY()-N1271,"")</f>
        <v>270</v>
      </c>
    </row>
    <row r="1272" ht="17" customHeight="1" spans="1:19" x14ac:dyDescent="0.25">
      <c r="A1272" s="11" t="s">
        <v>1934</v>
      </c>
      <c r="B1272" s="11" t="s">
        <v>1935</v>
      </c>
      <c r="C1272" s="11" t="s">
        <v>2558</v>
      </c>
      <c r="D1272" s="11" t="s">
        <v>2559</v>
      </c>
      <c r="E1272" s="12">
        <v>25</v>
      </c>
      <c r="F1272" s="13">
        <v>287</v>
      </c>
      <c r="G1272" s="14">
        <v>45730</v>
      </c>
      <c r="H1272" s="13">
        <v>287</v>
      </c>
      <c r="I1272" s="15" t="s">
        <v>24</v>
      </c>
      <c r="J1272" s="13"/>
      <c r="K1272" s="16" t="str">
        <f>IF(AND(H1272&gt;0,J1272&gt;0),(J1272-H1272)/H1272,"")</f>
        <v/>
      </c>
      <c r="L1272" s="13"/>
      <c r="M1272" s="16" t="str">
        <f>IF(AND(J1272&gt;0,L1272&gt;0),(L1272-J1272)/J1272,IF(AND(H1272&gt;0,L1272&gt;0),(L1272-H1272)/H1272,""))</f>
        <v/>
      </c>
      <c r="N1272" s="14">
        <v>45730</v>
      </c>
      <c r="O1272" s="13">
        <v>287</v>
      </c>
      <c r="P1272" s="16" t="str">
        <f>IF(AND(L1272&gt;0,O1272&gt;0),(O1272-L1272)/L1272,"")</f>
        <v/>
      </c>
      <c r="Q1272" s="18"/>
      <c r="R1272" s="18">
        <v>1</v>
      </c>
      <c r="S1272" s="10">
        <f>IF(N1272&gt;0,TODAY()-N1272,"")</f>
        <v>381</v>
      </c>
    </row>
    <row r="1273" ht="17" customHeight="1" spans="1:19" x14ac:dyDescent="0.25">
      <c r="A1273" s="3" t="s">
        <v>1934</v>
      </c>
      <c r="B1273" s="3" t="s">
        <v>1935</v>
      </c>
      <c r="C1273" s="3" t="s">
        <v>2560</v>
      </c>
      <c r="D1273" s="3" t="s">
        <v>2561</v>
      </c>
      <c r="E1273" s="4">
        <v>14</v>
      </c>
      <c r="F1273" s="5">
        <v>898.42</v>
      </c>
      <c r="G1273" s="6">
        <v>45677</v>
      </c>
      <c r="H1273" s="5">
        <v>898.42</v>
      </c>
      <c r="I1273" s="7" t="s">
        <v>24</v>
      </c>
      <c r="J1273" s="5"/>
      <c r="K1273" s="8" t="str">
        <f>IF(AND(H1273&gt;0,J1273&gt;0),(J1273-H1273)/H1273,"")</f>
        <v/>
      </c>
      <c r="L1273" s="5"/>
      <c r="M1273" s="8" t="str">
        <f>IF(AND(J1273&gt;0,L1273&gt;0),(L1273-J1273)/J1273,IF(AND(H1273&gt;0,L1273&gt;0),(L1273-H1273)/H1273,""))</f>
        <v/>
      </c>
      <c r="N1273" s="6">
        <v>45677</v>
      </c>
      <c r="O1273" s="5">
        <v>898.42</v>
      </c>
      <c r="P1273" s="8" t="str">
        <f>IF(AND(L1273&gt;0,O1273&gt;0),(O1273-L1273)/L1273,"")</f>
        <v/>
      </c>
      <c r="Q1273" s="9"/>
      <c r="R1273" s="9">
        <v>1</v>
      </c>
      <c r="S1273" s="10">
        <f>IF(N1273&gt;0,TODAY()-N1273,"")</f>
        <v>434</v>
      </c>
    </row>
    <row r="1274" ht="17" customHeight="1" spans="1:19" x14ac:dyDescent="0.25">
      <c r="A1274" s="11" t="s">
        <v>1934</v>
      </c>
      <c r="B1274" s="11" t="s">
        <v>1935</v>
      </c>
      <c r="C1274" s="11" t="s">
        <v>2562</v>
      </c>
      <c r="D1274" s="11" t="s">
        <v>2561</v>
      </c>
      <c r="E1274" s="12">
        <v>12</v>
      </c>
      <c r="F1274" s="13">
        <v>898.4200000000001</v>
      </c>
      <c r="G1274" s="14">
        <v>45677</v>
      </c>
      <c r="H1274" s="13">
        <v>898.42</v>
      </c>
      <c r="I1274" s="15" t="s">
        <v>24</v>
      </c>
      <c r="J1274" s="13"/>
      <c r="K1274" s="16" t="str">
        <f>IF(AND(H1274&gt;0,J1274&gt;0),(J1274-H1274)/H1274,"")</f>
        <v/>
      </c>
      <c r="L1274" s="13"/>
      <c r="M1274" s="16" t="str">
        <f>IF(AND(J1274&gt;0,L1274&gt;0),(L1274-J1274)/J1274,IF(AND(H1274&gt;0,L1274&gt;0),(L1274-H1274)/H1274,""))</f>
        <v/>
      </c>
      <c r="N1274" s="14">
        <v>45677</v>
      </c>
      <c r="O1274" s="13">
        <v>898.42</v>
      </c>
      <c r="P1274" s="16" t="str">
        <f>IF(AND(L1274&gt;0,O1274&gt;0),(O1274-L1274)/L1274,"")</f>
        <v/>
      </c>
      <c r="Q1274" s="18"/>
      <c r="R1274" s="18">
        <v>1</v>
      </c>
      <c r="S1274" s="10">
        <f>IF(N1274&gt;0,TODAY()-N1274,"")</f>
        <v>434</v>
      </c>
    </row>
    <row r="1275" ht="17" customHeight="1" spans="1:19" x14ac:dyDescent="0.25">
      <c r="A1275" s="3" t="s">
        <v>1934</v>
      </c>
      <c r="B1275" s="3" t="s">
        <v>1935</v>
      </c>
      <c r="C1275" s="3" t="s">
        <v>2563</v>
      </c>
      <c r="D1275" s="3" t="s">
        <v>2564</v>
      </c>
      <c r="E1275" s="4">
        <v>5</v>
      </c>
      <c r="F1275" s="5">
        <v>1100</v>
      </c>
      <c r="G1275" s="6">
        <v>45726</v>
      </c>
      <c r="H1275" s="5">
        <v>1100</v>
      </c>
      <c r="I1275" s="7" t="s">
        <v>24</v>
      </c>
      <c r="J1275" s="5"/>
      <c r="K1275" s="8" t="str">
        <f>IF(AND(H1275&gt;0,J1275&gt;0),(J1275-H1275)/H1275,"")</f>
        <v/>
      </c>
      <c r="L1275" s="5"/>
      <c r="M1275" s="8" t="str">
        <f>IF(AND(J1275&gt;0,L1275&gt;0),(L1275-J1275)/J1275,IF(AND(H1275&gt;0,L1275&gt;0),(L1275-H1275)/H1275,""))</f>
        <v/>
      </c>
      <c r="N1275" s="6">
        <v>45810</v>
      </c>
      <c r="O1275" s="5">
        <v>1100</v>
      </c>
      <c r="P1275" s="8" t="str">
        <f>IF(AND(L1275&gt;0,O1275&gt;0),(O1275-L1275)/L1275,"")</f>
        <v/>
      </c>
      <c r="Q1275" s="9">
        <v>84</v>
      </c>
      <c r="R1275" s="9">
        <v>2</v>
      </c>
      <c r="S1275" s="10">
        <f>IF(N1275&gt;0,TODAY()-N1275,"")</f>
        <v>301</v>
      </c>
    </row>
    <row r="1276" ht="17" customHeight="1" spans="1:19" x14ac:dyDescent="0.25">
      <c r="A1276" s="11" t="s">
        <v>1934</v>
      </c>
      <c r="B1276" s="11" t="s">
        <v>1935</v>
      </c>
      <c r="C1276" s="11" t="s">
        <v>2565</v>
      </c>
      <c r="D1276" s="11" t="s">
        <v>2566</v>
      </c>
      <c r="E1276" s="12">
        <v>37</v>
      </c>
      <c r="F1276" s="13">
        <v>400</v>
      </c>
      <c r="G1276" s="14">
        <v>45726</v>
      </c>
      <c r="H1276" s="13">
        <v>400</v>
      </c>
      <c r="I1276" s="15" t="s">
        <v>57</v>
      </c>
      <c r="J1276" s="13">
        <v>400</v>
      </c>
      <c r="K1276" s="17">
        <f>IF(AND(H1276&gt;0,J1276&gt;0),(J1276-H1276)/H1276,"")</f>
        <v>0</v>
      </c>
      <c r="L1276" s="13"/>
      <c r="M1276" s="16" t="str">
        <f>IF(AND(J1276&gt;0,L1276&gt;0),(L1276-J1276)/J1276,IF(AND(H1276&gt;0,L1276&gt;0),(L1276-H1276)/H1276,""))</f>
        <v/>
      </c>
      <c r="N1276" s="14">
        <v>45951</v>
      </c>
      <c r="O1276" s="13">
        <v>400</v>
      </c>
      <c r="P1276" s="16" t="str">
        <f>IF(AND(L1276&gt;0,O1276&gt;0),(O1276-L1276)/L1276,"")</f>
        <v/>
      </c>
      <c r="Q1276" s="18">
        <v>38</v>
      </c>
      <c r="R1276" s="18">
        <v>7</v>
      </c>
      <c r="S1276" s="21">
        <f>IF(N1276&gt;0,TODAY()-N1276,"")</f>
        <v>160</v>
      </c>
    </row>
    <row r="1277" ht="17" customHeight="1" spans="1:19" x14ac:dyDescent="0.25">
      <c r="A1277" s="3" t="s">
        <v>1934</v>
      </c>
      <c r="B1277" s="3" t="s">
        <v>1935</v>
      </c>
      <c r="C1277" s="3" t="s">
        <v>2567</v>
      </c>
      <c r="D1277" s="3" t="s">
        <v>2568</v>
      </c>
      <c r="E1277" s="4">
        <v>4</v>
      </c>
      <c r="F1277" s="5">
        <v>1600</v>
      </c>
      <c r="G1277" s="6">
        <v>45784</v>
      </c>
      <c r="H1277" s="5">
        <v>945.45</v>
      </c>
      <c r="I1277" s="7" t="s">
        <v>24</v>
      </c>
      <c r="J1277" s="5"/>
      <c r="K1277" s="8" t="str">
        <f>IF(AND(H1277&gt;0,J1277&gt;0),(J1277-H1277)/H1277,"")</f>
        <v/>
      </c>
      <c r="L1277" s="5"/>
      <c r="M1277" s="8" t="str">
        <f>IF(AND(J1277&gt;0,L1277&gt;0),(L1277-J1277)/J1277,IF(AND(H1277&gt;0,L1277&gt;0),(L1277-H1277)/H1277,""))</f>
        <v/>
      </c>
      <c r="N1277" s="6">
        <v>45800</v>
      </c>
      <c r="O1277" s="5">
        <v>945.45</v>
      </c>
      <c r="P1277" s="8" t="str">
        <f>IF(AND(L1277&gt;0,O1277&gt;0),(O1277-L1277)/L1277,"")</f>
        <v/>
      </c>
      <c r="Q1277" s="9">
        <v>16</v>
      </c>
      <c r="R1277" s="9">
        <v>2</v>
      </c>
      <c r="S1277" s="10">
        <f>IF(N1277&gt;0,TODAY()-N1277,"")</f>
        <v>311</v>
      </c>
    </row>
    <row r="1278" ht="17" customHeight="1" spans="1:19" x14ac:dyDescent="0.25">
      <c r="A1278" s="11" t="s">
        <v>1934</v>
      </c>
      <c r="B1278" s="11" t="s">
        <v>1935</v>
      </c>
      <c r="C1278" s="11" t="s">
        <v>2569</v>
      </c>
      <c r="D1278" s="11" t="s">
        <v>2570</v>
      </c>
      <c r="E1278" s="12">
        <v>1</v>
      </c>
      <c r="F1278" s="13">
        <v>2500</v>
      </c>
      <c r="G1278" s="14">
        <v>45713</v>
      </c>
      <c r="H1278" s="13">
        <v>1477.27</v>
      </c>
      <c r="I1278" s="15" t="s">
        <v>24</v>
      </c>
      <c r="J1278" s="13"/>
      <c r="K1278" s="16" t="str">
        <f>IF(AND(H1278&gt;0,J1278&gt;0),(J1278-H1278)/H1278,"")</f>
        <v/>
      </c>
      <c r="L1278" s="13"/>
      <c r="M1278" s="16" t="str">
        <f>IF(AND(J1278&gt;0,L1278&gt;0),(L1278-J1278)/J1278,IF(AND(H1278&gt;0,L1278&gt;0),(L1278-H1278)/H1278,""))</f>
        <v/>
      </c>
      <c r="N1278" s="14">
        <v>45713</v>
      </c>
      <c r="O1278" s="13">
        <v>1477.27</v>
      </c>
      <c r="P1278" s="16" t="str">
        <f>IF(AND(L1278&gt;0,O1278&gt;0),(O1278-L1278)/L1278,"")</f>
        <v/>
      </c>
      <c r="Q1278" s="18"/>
      <c r="R1278" s="18">
        <v>1</v>
      </c>
      <c r="S1278" s="10">
        <f>IF(N1278&gt;0,TODAY()-N1278,"")</f>
        <v>398</v>
      </c>
    </row>
    <row r="1279" ht="17" customHeight="1" spans="1:19" x14ac:dyDescent="0.25">
      <c r="A1279" s="3" t="s">
        <v>1934</v>
      </c>
      <c r="B1279" s="3" t="s">
        <v>1935</v>
      </c>
      <c r="C1279" s="3" t="s">
        <v>2571</v>
      </c>
      <c r="D1279" s="3" t="s">
        <v>2572</v>
      </c>
      <c r="E1279" s="4">
        <v>2</v>
      </c>
      <c r="F1279" s="5">
        <v>1500</v>
      </c>
      <c r="G1279" s="6">
        <v>45671</v>
      </c>
      <c r="H1279" s="5">
        <v>812.5</v>
      </c>
      <c r="I1279" s="7" t="s">
        <v>24</v>
      </c>
      <c r="J1279" s="5"/>
      <c r="K1279" s="8" t="str">
        <f>IF(AND(H1279&gt;0,J1279&gt;0),(J1279-H1279)/H1279,"")</f>
        <v/>
      </c>
      <c r="L1279" s="5"/>
      <c r="M1279" s="8" t="str">
        <f>IF(AND(J1279&gt;0,L1279&gt;0),(L1279-J1279)/J1279,IF(AND(H1279&gt;0,L1279&gt;0),(L1279-H1279)/H1279,""))</f>
        <v/>
      </c>
      <c r="N1279" s="6">
        <v>45754</v>
      </c>
      <c r="O1279" s="5">
        <v>812.5</v>
      </c>
      <c r="P1279" s="8" t="str">
        <f>IF(AND(L1279&gt;0,O1279&gt;0),(O1279-L1279)/L1279,"")</f>
        <v/>
      </c>
      <c r="Q1279" s="9">
        <v>83</v>
      </c>
      <c r="R1279" s="9">
        <v>2</v>
      </c>
      <c r="S1279" s="10">
        <f>IF(N1279&gt;0,TODAY()-N1279,"")</f>
        <v>357</v>
      </c>
    </row>
    <row r="1280" ht="17" customHeight="1" spans="1:19" x14ac:dyDescent="0.25">
      <c r="A1280" s="11" t="s">
        <v>1934</v>
      </c>
      <c r="B1280" s="11" t="s">
        <v>1935</v>
      </c>
      <c r="C1280" s="11" t="s">
        <v>2573</v>
      </c>
      <c r="D1280" s="11" t="s">
        <v>2574</v>
      </c>
      <c r="E1280" s="12">
        <v>3</v>
      </c>
      <c r="F1280" s="13">
        <v>20318.906666666666</v>
      </c>
      <c r="G1280" s="14">
        <v>45925</v>
      </c>
      <c r="H1280" s="13">
        <v>20189.83</v>
      </c>
      <c r="I1280" s="15" t="s">
        <v>60</v>
      </c>
      <c r="J1280" s="13">
        <v>20577.06</v>
      </c>
      <c r="K1280" s="17">
        <f>IF(AND(H1280&gt;0,J1280&gt;0),(J1280-H1280)/H1280,"")</f>
        <v>0.019179458172753287</v>
      </c>
      <c r="L1280" s="13"/>
      <c r="M1280" s="16" t="str">
        <f>IF(AND(J1280&gt;0,L1280&gt;0),(L1280-J1280)/J1280,IF(AND(H1280&gt;0,L1280&gt;0),(L1280-H1280)/H1280,""))</f>
        <v/>
      </c>
      <c r="N1280" s="14">
        <v>45978</v>
      </c>
      <c r="O1280" s="13">
        <v>20577.06</v>
      </c>
      <c r="P1280" s="16" t="str">
        <f>IF(AND(L1280&gt;0,O1280&gt;0),(O1280-L1280)/L1280,"")</f>
        <v/>
      </c>
      <c r="Q1280" s="18">
        <v>53</v>
      </c>
      <c r="R1280" s="18">
        <v>2</v>
      </c>
      <c r="S1280" s="21">
        <f>IF(N1280&gt;0,TODAY()-N1280,"")</f>
        <v>133</v>
      </c>
    </row>
    <row r="1281" ht="17" customHeight="1" spans="1:19" x14ac:dyDescent="0.25">
      <c r="A1281" s="3" t="s">
        <v>1934</v>
      </c>
      <c r="B1281" s="3" t="s">
        <v>1935</v>
      </c>
      <c r="C1281" s="3" t="s">
        <v>2575</v>
      </c>
      <c r="D1281" s="3" t="s">
        <v>2576</v>
      </c>
      <c r="E1281" s="4">
        <v>20</v>
      </c>
      <c r="F1281" s="5">
        <v>476.17099999999994</v>
      </c>
      <c r="G1281" s="6">
        <v>45925</v>
      </c>
      <c r="H1281" s="5">
        <v>471.65</v>
      </c>
      <c r="I1281" s="7" t="s">
        <v>60</v>
      </c>
      <c r="J1281" s="5">
        <v>480.69</v>
      </c>
      <c r="K1281" s="24">
        <f>IF(AND(H1281&gt;0,J1281&gt;0),(J1281-H1281)/H1281,"")</f>
        <v>0.019166755009010963</v>
      </c>
      <c r="L1281" s="5"/>
      <c r="M1281" s="8" t="str">
        <f>IF(AND(J1281&gt;0,L1281&gt;0),(L1281-J1281)/J1281,IF(AND(H1281&gt;0,L1281&gt;0),(L1281-H1281)/H1281,""))</f>
        <v/>
      </c>
      <c r="N1281" s="6">
        <v>45978</v>
      </c>
      <c r="O1281" s="5">
        <v>480.69</v>
      </c>
      <c r="P1281" s="8" t="str">
        <f>IF(AND(L1281&gt;0,O1281&gt;0),(O1281-L1281)/L1281,"")</f>
        <v/>
      </c>
      <c r="Q1281" s="9">
        <v>53</v>
      </c>
      <c r="R1281" s="9">
        <v>2</v>
      </c>
      <c r="S1281" s="21">
        <f>IF(N1281&gt;0,TODAY()-N1281,"")</f>
        <v>133</v>
      </c>
    </row>
    <row r="1282" ht="17" customHeight="1" spans="1:19" x14ac:dyDescent="0.25">
      <c r="A1282" s="11" t="s">
        <v>1934</v>
      </c>
      <c r="B1282" s="11" t="s">
        <v>1935</v>
      </c>
      <c r="C1282" s="11" t="s">
        <v>2577</v>
      </c>
      <c r="D1282" s="11" t="s">
        <v>2578</v>
      </c>
      <c r="E1282" s="12">
        <v>10</v>
      </c>
      <c r="F1282" s="13">
        <v>1779.0220000000002</v>
      </c>
      <c r="G1282" s="14">
        <v>45925</v>
      </c>
      <c r="H1282" s="13">
        <v>1779.02</v>
      </c>
      <c r="I1282" s="15" t="s">
        <v>24</v>
      </c>
      <c r="J1282" s="13"/>
      <c r="K1282" s="16" t="str">
        <f>IF(AND(H1282&gt;0,J1282&gt;0),(J1282-H1282)/H1282,"")</f>
        <v/>
      </c>
      <c r="L1282" s="13"/>
      <c r="M1282" s="16" t="str">
        <f>IF(AND(J1282&gt;0,L1282&gt;0),(L1282-J1282)/J1282,IF(AND(H1282&gt;0,L1282&gt;0),(L1282-H1282)/H1282,""))</f>
        <v/>
      </c>
      <c r="N1282" s="14">
        <v>45925</v>
      </c>
      <c r="O1282" s="13">
        <v>1779.02</v>
      </c>
      <c r="P1282" s="16" t="str">
        <f>IF(AND(L1282&gt;0,O1282&gt;0),(O1282-L1282)/L1282,"")</f>
        <v/>
      </c>
      <c r="Q1282" s="18"/>
      <c r="R1282" s="18">
        <v>1</v>
      </c>
      <c r="S1282" s="10">
        <f>IF(N1282&gt;0,TODAY()-N1282,"")</f>
        <v>186</v>
      </c>
    </row>
    <row r="1283" ht="17" customHeight="1" spans="1:19" x14ac:dyDescent="0.25">
      <c r="A1283" s="3" t="s">
        <v>1934</v>
      </c>
      <c r="B1283" s="3" t="s">
        <v>1935</v>
      </c>
      <c r="C1283" s="3" t="s">
        <v>2579</v>
      </c>
      <c r="D1283" s="3" t="s">
        <v>2580</v>
      </c>
      <c r="E1283" s="4">
        <v>5</v>
      </c>
      <c r="F1283" s="5">
        <v>218.18200000000002</v>
      </c>
      <c r="G1283" s="6">
        <v>45833</v>
      </c>
      <c r="H1283" s="5">
        <v>218.18</v>
      </c>
      <c r="I1283" s="7" t="s">
        <v>24</v>
      </c>
      <c r="J1283" s="5"/>
      <c r="K1283" s="8" t="str">
        <f>IF(AND(H1283&gt;0,J1283&gt;0),(J1283-H1283)/H1283,"")</f>
        <v/>
      </c>
      <c r="L1283" s="5"/>
      <c r="M1283" s="8" t="str">
        <f>IF(AND(J1283&gt;0,L1283&gt;0),(L1283-J1283)/J1283,IF(AND(H1283&gt;0,L1283&gt;0),(L1283-H1283)/H1283,""))</f>
        <v/>
      </c>
      <c r="N1283" s="6">
        <v>45833</v>
      </c>
      <c r="O1283" s="5">
        <v>218.18</v>
      </c>
      <c r="P1283" s="8" t="str">
        <f>IF(AND(L1283&gt;0,O1283&gt;0),(O1283-L1283)/L1283,"")</f>
        <v/>
      </c>
      <c r="Q1283" s="9"/>
      <c r="R1283" s="9">
        <v>1</v>
      </c>
      <c r="S1283" s="10">
        <f>IF(N1283&gt;0,TODAY()-N1283,"")</f>
        <v>278</v>
      </c>
    </row>
    <row r="1284" ht="17" customHeight="1" spans="1:19" x14ac:dyDescent="0.25">
      <c r="A1284" s="11" t="s">
        <v>1934</v>
      </c>
      <c r="B1284" s="11" t="s">
        <v>1935</v>
      </c>
      <c r="C1284" s="11" t="s">
        <v>2581</v>
      </c>
      <c r="D1284" s="11" t="s">
        <v>2582</v>
      </c>
      <c r="E1284" s="12">
        <v>5</v>
      </c>
      <c r="F1284" s="13">
        <v>218.18200000000002</v>
      </c>
      <c r="G1284" s="14">
        <v>45833</v>
      </c>
      <c r="H1284" s="13">
        <v>218.18</v>
      </c>
      <c r="I1284" s="15" t="s">
        <v>24</v>
      </c>
      <c r="J1284" s="13"/>
      <c r="K1284" s="16" t="str">
        <f>IF(AND(H1284&gt;0,J1284&gt;0),(J1284-H1284)/H1284,"")</f>
        <v/>
      </c>
      <c r="L1284" s="13"/>
      <c r="M1284" s="16" t="str">
        <f>IF(AND(J1284&gt;0,L1284&gt;0),(L1284-J1284)/J1284,IF(AND(H1284&gt;0,L1284&gt;0),(L1284-H1284)/H1284,""))</f>
        <v/>
      </c>
      <c r="N1284" s="14">
        <v>45833</v>
      </c>
      <c r="O1284" s="13">
        <v>218.18</v>
      </c>
      <c r="P1284" s="16" t="str">
        <f>IF(AND(L1284&gt;0,O1284&gt;0),(O1284-L1284)/L1284,"")</f>
        <v/>
      </c>
      <c r="Q1284" s="18"/>
      <c r="R1284" s="18">
        <v>1</v>
      </c>
      <c r="S1284" s="10">
        <f>IF(N1284&gt;0,TODAY()-N1284,"")</f>
        <v>278</v>
      </c>
    </row>
    <row r="1285" ht="17" customHeight="1" spans="1:19" x14ac:dyDescent="0.25">
      <c r="A1285" s="3" t="s">
        <v>1934</v>
      </c>
      <c r="B1285" s="3" t="s">
        <v>1935</v>
      </c>
      <c r="C1285" s="3" t="s">
        <v>2583</v>
      </c>
      <c r="D1285" s="3" t="s">
        <v>2584</v>
      </c>
      <c r="E1285" s="4">
        <v>6</v>
      </c>
      <c r="F1285" s="5">
        <v>218.18166666666664</v>
      </c>
      <c r="G1285" s="6">
        <v>45833</v>
      </c>
      <c r="H1285" s="5">
        <v>218.18</v>
      </c>
      <c r="I1285" s="7" t="s">
        <v>24</v>
      </c>
      <c r="J1285" s="5"/>
      <c r="K1285" s="8" t="str">
        <f>IF(AND(H1285&gt;0,J1285&gt;0),(J1285-H1285)/H1285,"")</f>
        <v/>
      </c>
      <c r="L1285" s="5"/>
      <c r="M1285" s="8" t="str">
        <f>IF(AND(J1285&gt;0,L1285&gt;0),(L1285-J1285)/J1285,IF(AND(H1285&gt;0,L1285&gt;0),(L1285-H1285)/H1285,""))</f>
        <v/>
      </c>
      <c r="N1285" s="6">
        <v>45833</v>
      </c>
      <c r="O1285" s="5">
        <v>218.18</v>
      </c>
      <c r="P1285" s="8" t="str">
        <f>IF(AND(L1285&gt;0,O1285&gt;0),(O1285-L1285)/L1285,"")</f>
        <v/>
      </c>
      <c r="Q1285" s="9"/>
      <c r="R1285" s="9">
        <v>1</v>
      </c>
      <c r="S1285" s="10">
        <f>IF(N1285&gt;0,TODAY()-N1285,"")</f>
        <v>278</v>
      </c>
    </row>
    <row r="1286" ht="22" customHeight="1" spans="1:19" x14ac:dyDescent="0.25">
      <c r="A1286" s="28" t="s">
        <v>2585</v>
      </c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</row>
    <row r="1287" ht="17" customHeight="1" spans="1:19" x14ac:dyDescent="0.25">
      <c r="A1287" s="3" t="s">
        <v>2586</v>
      </c>
      <c r="B1287" s="3" t="s">
        <v>2586</v>
      </c>
      <c r="C1287" s="3" t="s">
        <v>2587</v>
      </c>
      <c r="D1287" s="3" t="s">
        <v>2588</v>
      </c>
      <c r="E1287" s="4">
        <v>50</v>
      </c>
      <c r="F1287" s="5">
        <v>77.98</v>
      </c>
      <c r="G1287" s="6">
        <v>45793</v>
      </c>
      <c r="H1287" s="5">
        <v>77.98</v>
      </c>
      <c r="I1287" s="7" t="s">
        <v>24</v>
      </c>
      <c r="J1287" s="5"/>
      <c r="K1287" s="8" t="str">
        <f>IF(AND(H1287&gt;0,J1287&gt;0),(J1287-H1287)/H1287,"")</f>
        <v/>
      </c>
      <c r="L1287" s="5"/>
      <c r="M1287" s="8" t="str">
        <f>IF(AND(J1287&gt;0,L1287&gt;0),(L1287-J1287)/J1287,IF(AND(H1287&gt;0,L1287&gt;0),(L1287-H1287)/H1287,""))</f>
        <v/>
      </c>
      <c r="N1287" s="6">
        <v>45793</v>
      </c>
      <c r="O1287" s="5">
        <v>77.98</v>
      </c>
      <c r="P1287" s="8" t="str">
        <f>IF(AND(L1287&gt;0,O1287&gt;0),(O1287-L1287)/L1287,"")</f>
        <v/>
      </c>
      <c r="Q1287" s="9"/>
      <c r="R1287" s="9">
        <v>1</v>
      </c>
      <c r="S1287" s="10">
        <f>IF(N1287&gt;0,TODAY()-N1287,"")</f>
        <v>318</v>
      </c>
    </row>
    <row r="1288" ht="17" customHeight="1" spans="1:19" x14ac:dyDescent="0.25">
      <c r="A1288" s="11" t="s">
        <v>2586</v>
      </c>
      <c r="B1288" s="11" t="s">
        <v>2586</v>
      </c>
      <c r="C1288" s="11" t="s">
        <v>2589</v>
      </c>
      <c r="D1288" s="11" t="s">
        <v>2590</v>
      </c>
      <c r="E1288" s="12">
        <v>6</v>
      </c>
      <c r="F1288" s="13">
        <v>299</v>
      </c>
      <c r="G1288" s="14">
        <v>45793</v>
      </c>
      <c r="H1288" s="13">
        <v>299</v>
      </c>
      <c r="I1288" s="15" t="s">
        <v>24</v>
      </c>
      <c r="J1288" s="13"/>
      <c r="K1288" s="16" t="str">
        <f>IF(AND(H1288&gt;0,J1288&gt;0),(J1288-H1288)/H1288,"")</f>
        <v/>
      </c>
      <c r="L1288" s="13"/>
      <c r="M1288" s="16" t="str">
        <f>IF(AND(J1288&gt;0,L1288&gt;0),(L1288-J1288)/J1288,IF(AND(H1288&gt;0,L1288&gt;0),(L1288-H1288)/H1288,""))</f>
        <v/>
      </c>
      <c r="N1288" s="14">
        <v>45793</v>
      </c>
      <c r="O1288" s="13">
        <v>299</v>
      </c>
      <c r="P1288" s="16" t="str">
        <f>IF(AND(L1288&gt;0,O1288&gt;0),(O1288-L1288)/L1288,"")</f>
        <v/>
      </c>
      <c r="Q1288" s="18"/>
      <c r="R1288" s="18">
        <v>1</v>
      </c>
      <c r="S1288" s="10">
        <f>IF(N1288&gt;0,TODAY()-N1288,"")</f>
        <v>318</v>
      </c>
    </row>
    <row r="1289" ht="17" customHeight="1" spans="1:19" x14ac:dyDescent="0.25">
      <c r="A1289" s="3" t="s">
        <v>2586</v>
      </c>
      <c r="B1289" s="3" t="s">
        <v>2586</v>
      </c>
      <c r="C1289" s="3" t="s">
        <v>2591</v>
      </c>
      <c r="D1289" s="3" t="s">
        <v>2592</v>
      </c>
      <c r="E1289" s="4">
        <v>5</v>
      </c>
      <c r="F1289" s="5">
        <v>140</v>
      </c>
      <c r="G1289" s="6">
        <v>45735</v>
      </c>
      <c r="H1289" s="5">
        <v>140</v>
      </c>
      <c r="I1289" s="7" t="s">
        <v>24</v>
      </c>
      <c r="J1289" s="5"/>
      <c r="K1289" s="8" t="str">
        <f>IF(AND(H1289&gt;0,J1289&gt;0),(J1289-H1289)/H1289,"")</f>
        <v/>
      </c>
      <c r="L1289" s="5"/>
      <c r="M1289" s="8" t="str">
        <f>IF(AND(J1289&gt;0,L1289&gt;0),(L1289-J1289)/J1289,IF(AND(H1289&gt;0,L1289&gt;0),(L1289-H1289)/H1289,""))</f>
        <v/>
      </c>
      <c r="N1289" s="6">
        <v>45735</v>
      </c>
      <c r="O1289" s="5">
        <v>140</v>
      </c>
      <c r="P1289" s="8" t="str">
        <f>IF(AND(L1289&gt;0,O1289&gt;0),(O1289-L1289)/L1289,"")</f>
        <v/>
      </c>
      <c r="Q1289" s="9"/>
      <c r="R1289" s="9">
        <v>1</v>
      </c>
      <c r="S1289" s="10">
        <f>IF(N1289&gt;0,TODAY()-N1289,"")</f>
        <v>376</v>
      </c>
    </row>
    <row r="1290" ht="17" customHeight="1" spans="1:19" x14ac:dyDescent="0.25">
      <c r="A1290" s="11" t="s">
        <v>2586</v>
      </c>
      <c r="B1290" s="11" t="s">
        <v>2586</v>
      </c>
      <c r="C1290" s="11" t="s">
        <v>2593</v>
      </c>
      <c r="D1290" s="11" t="s">
        <v>2594</v>
      </c>
      <c r="E1290" s="12">
        <v>5</v>
      </c>
      <c r="F1290" s="13">
        <v>140</v>
      </c>
      <c r="G1290" s="14">
        <v>45735</v>
      </c>
      <c r="H1290" s="13">
        <v>140</v>
      </c>
      <c r="I1290" s="15" t="s">
        <v>24</v>
      </c>
      <c r="J1290" s="13"/>
      <c r="K1290" s="16" t="str">
        <f>IF(AND(H1290&gt;0,J1290&gt;0),(J1290-H1290)/H1290,"")</f>
        <v/>
      </c>
      <c r="L1290" s="13"/>
      <c r="M1290" s="16" t="str">
        <f>IF(AND(J1290&gt;0,L1290&gt;0),(L1290-J1290)/J1290,IF(AND(H1290&gt;0,L1290&gt;0),(L1290-H1290)/H1290,""))</f>
        <v/>
      </c>
      <c r="N1290" s="14">
        <v>45735</v>
      </c>
      <c r="O1290" s="13">
        <v>140</v>
      </c>
      <c r="P1290" s="16" t="str">
        <f>IF(AND(L1290&gt;0,O1290&gt;0),(O1290-L1290)/L1290,"")</f>
        <v/>
      </c>
      <c r="Q1290" s="18"/>
      <c r="R1290" s="18">
        <v>1</v>
      </c>
      <c r="S1290" s="10">
        <f>IF(N1290&gt;0,TODAY()-N1290,"")</f>
        <v>376</v>
      </c>
    </row>
    <row r="1291" ht="17" customHeight="1" spans="1:19" x14ac:dyDescent="0.25">
      <c r="A1291" s="3" t="s">
        <v>2586</v>
      </c>
      <c r="B1291" s="3" t="s">
        <v>2586</v>
      </c>
      <c r="C1291" s="3" t="s">
        <v>2595</v>
      </c>
      <c r="D1291" s="3" t="s">
        <v>2596</v>
      </c>
      <c r="E1291" s="4">
        <v>1</v>
      </c>
      <c r="F1291" s="5">
        <v>490</v>
      </c>
      <c r="G1291" s="6">
        <v>45761</v>
      </c>
      <c r="H1291" s="5">
        <v>490</v>
      </c>
      <c r="I1291" s="7" t="s">
        <v>24</v>
      </c>
      <c r="J1291" s="5"/>
      <c r="K1291" s="8" t="str">
        <f>IF(AND(H1291&gt;0,J1291&gt;0),(J1291-H1291)/H1291,"")</f>
        <v/>
      </c>
      <c r="L1291" s="5"/>
      <c r="M1291" s="8" t="str">
        <f>IF(AND(J1291&gt;0,L1291&gt;0),(L1291-J1291)/J1291,IF(AND(H1291&gt;0,L1291&gt;0),(L1291-H1291)/H1291,""))</f>
        <v/>
      </c>
      <c r="N1291" s="6">
        <v>45761</v>
      </c>
      <c r="O1291" s="5">
        <v>490</v>
      </c>
      <c r="P1291" s="8" t="str">
        <f>IF(AND(L1291&gt;0,O1291&gt;0),(O1291-L1291)/L1291,"")</f>
        <v/>
      </c>
      <c r="Q1291" s="9"/>
      <c r="R1291" s="9">
        <v>1</v>
      </c>
      <c r="S1291" s="10">
        <f>IF(N1291&gt;0,TODAY()-N1291,"")</f>
        <v>350</v>
      </c>
    </row>
    <row r="1292" ht="17" customHeight="1" spans="1:19" x14ac:dyDescent="0.25">
      <c r="A1292" s="11" t="s">
        <v>2586</v>
      </c>
      <c r="B1292" s="11" t="s">
        <v>2586</v>
      </c>
      <c r="C1292" s="11" t="s">
        <v>2597</v>
      </c>
      <c r="D1292" s="11" t="s">
        <v>2598</v>
      </c>
      <c r="E1292" s="12">
        <v>1</v>
      </c>
      <c r="F1292" s="13">
        <v>530</v>
      </c>
      <c r="G1292" s="14">
        <v>46034</v>
      </c>
      <c r="H1292" s="13">
        <v>530</v>
      </c>
      <c r="I1292" s="15" t="s">
        <v>24</v>
      </c>
      <c r="J1292" s="13"/>
      <c r="K1292" s="16" t="str">
        <f>IF(AND(H1292&gt;0,J1292&gt;0),(J1292-H1292)/H1292,"")</f>
        <v/>
      </c>
      <c r="L1292" s="13">
        <v>530</v>
      </c>
      <c r="M1292" s="17">
        <f>IF(AND(J1292&gt;0,L1292&gt;0),(L1292-J1292)/J1292,IF(AND(H1292&gt;0,L1292&gt;0),(L1292-H1292)/H1292,""))</f>
        <v>0</v>
      </c>
      <c r="N1292" s="14">
        <v>46034</v>
      </c>
      <c r="O1292" s="13">
        <v>530</v>
      </c>
      <c r="P1292" s="16" t="str">
        <f>IF(AND(L1292&gt;0,O1292&gt;0),(O1292-L1292)/L1292,"")</f>
        <v/>
      </c>
      <c r="Q1292" s="18"/>
      <c r="R1292" s="18">
        <v>1</v>
      </c>
      <c r="S1292" s="19">
        <f>IF(N1292&gt;0,TODAY()-N1292,"")</f>
        <v>77</v>
      </c>
    </row>
    <row r="1293" ht="17" customHeight="1" spans="1:19" x14ac:dyDescent="0.25">
      <c r="A1293" s="3" t="s">
        <v>2586</v>
      </c>
      <c r="B1293" s="3" t="s">
        <v>2586</v>
      </c>
      <c r="C1293" s="3" t="s">
        <v>2599</v>
      </c>
      <c r="D1293" s="3" t="s">
        <v>2600</v>
      </c>
      <c r="E1293" s="4">
        <v>9</v>
      </c>
      <c r="F1293" s="5">
        <v>524.7</v>
      </c>
      <c r="G1293" s="6">
        <v>45761</v>
      </c>
      <c r="H1293" s="5">
        <v>530</v>
      </c>
      <c r="I1293" s="7" t="s">
        <v>24</v>
      </c>
      <c r="J1293" s="5"/>
      <c r="K1293" s="8" t="str">
        <f>IF(AND(H1293&gt;0,J1293&gt;0),(J1293-H1293)/H1293,"")</f>
        <v/>
      </c>
      <c r="L1293" s="5">
        <v>530</v>
      </c>
      <c r="M1293" s="24">
        <f>IF(AND(J1293&gt;0,L1293&gt;0),(L1293-J1293)/J1293,IF(AND(H1293&gt;0,L1293&gt;0),(L1293-H1293)/H1293,""))</f>
        <v>0</v>
      </c>
      <c r="N1293" s="6">
        <v>46034</v>
      </c>
      <c r="O1293" s="5">
        <v>530</v>
      </c>
      <c r="P1293" s="8" t="str">
        <f>IF(AND(L1293&gt;0,O1293&gt;0),(O1293-L1293)/L1293,"")</f>
        <v/>
      </c>
      <c r="Q1293" s="9">
        <v>137</v>
      </c>
      <c r="R1293" s="9">
        <v>3</v>
      </c>
      <c r="S1293" s="19">
        <f>IF(N1293&gt;0,TODAY()-N1293,"")</f>
        <v>77</v>
      </c>
    </row>
    <row r="1294" ht="17" customHeight="1" spans="1:19" x14ac:dyDescent="0.25">
      <c r="A1294" s="11" t="s">
        <v>2586</v>
      </c>
      <c r="B1294" s="11" t="s">
        <v>2586</v>
      </c>
      <c r="C1294" s="11" t="s">
        <v>2601</v>
      </c>
      <c r="D1294" s="11" t="s">
        <v>2602</v>
      </c>
      <c r="E1294" s="12">
        <v>31</v>
      </c>
      <c r="F1294" s="13">
        <v>787.9309677419355</v>
      </c>
      <c r="G1294" s="14">
        <v>45674</v>
      </c>
      <c r="H1294" s="13">
        <v>787.93</v>
      </c>
      <c r="I1294" s="15" t="s">
        <v>24</v>
      </c>
      <c r="J1294" s="13"/>
      <c r="K1294" s="16" t="str">
        <f>IF(AND(H1294&gt;0,J1294&gt;0),(J1294-H1294)/H1294,"")</f>
        <v/>
      </c>
      <c r="L1294" s="13"/>
      <c r="M1294" s="16" t="str">
        <f>IF(AND(J1294&gt;0,L1294&gt;0),(L1294-J1294)/J1294,IF(AND(H1294&gt;0,L1294&gt;0),(L1294-H1294)/H1294,""))</f>
        <v/>
      </c>
      <c r="N1294" s="14">
        <v>45674</v>
      </c>
      <c r="O1294" s="13">
        <v>787.93</v>
      </c>
      <c r="P1294" s="16" t="str">
        <f>IF(AND(L1294&gt;0,O1294&gt;0),(O1294-L1294)/L1294,"")</f>
        <v/>
      </c>
      <c r="Q1294" s="18"/>
      <c r="R1294" s="18">
        <v>1</v>
      </c>
      <c r="S1294" s="10">
        <f>IF(N1294&gt;0,TODAY()-N1294,"")</f>
        <v>437</v>
      </c>
    </row>
    <row r="1295" ht="17" customHeight="1" spans="1:19" x14ac:dyDescent="0.25">
      <c r="A1295" s="3" t="s">
        <v>2586</v>
      </c>
      <c r="B1295" s="3" t="s">
        <v>2586</v>
      </c>
      <c r="C1295" s="3" t="s">
        <v>2603</v>
      </c>
      <c r="D1295" s="3" t="s">
        <v>2604</v>
      </c>
      <c r="E1295" s="4">
        <v>26</v>
      </c>
      <c r="F1295" s="5">
        <v>785.5119230769232</v>
      </c>
      <c r="G1295" s="6">
        <v>45674</v>
      </c>
      <c r="H1295" s="5">
        <v>785.51</v>
      </c>
      <c r="I1295" s="7" t="s">
        <v>24</v>
      </c>
      <c r="J1295" s="5"/>
      <c r="K1295" s="8" t="str">
        <f>IF(AND(H1295&gt;0,J1295&gt;0),(J1295-H1295)/H1295,"")</f>
        <v/>
      </c>
      <c r="L1295" s="5"/>
      <c r="M1295" s="8" t="str">
        <f>IF(AND(J1295&gt;0,L1295&gt;0),(L1295-J1295)/J1295,IF(AND(H1295&gt;0,L1295&gt;0),(L1295-H1295)/H1295,""))</f>
        <v/>
      </c>
      <c r="N1295" s="6">
        <v>45674</v>
      </c>
      <c r="O1295" s="5">
        <v>785.51</v>
      </c>
      <c r="P1295" s="8" t="str">
        <f>IF(AND(L1295&gt;0,O1295&gt;0),(O1295-L1295)/L1295,"")</f>
        <v/>
      </c>
      <c r="Q1295" s="9"/>
      <c r="R1295" s="9">
        <v>1</v>
      </c>
      <c r="S1295" s="10">
        <f>IF(N1295&gt;0,TODAY()-N1295,"")</f>
        <v>437</v>
      </c>
    </row>
    <row r="1296" ht="17" customHeight="1" spans="1:19" x14ac:dyDescent="0.25">
      <c r="A1296" s="11" t="s">
        <v>2586</v>
      </c>
      <c r="B1296" s="11" t="s">
        <v>2586</v>
      </c>
      <c r="C1296" s="11" t="s">
        <v>2605</v>
      </c>
      <c r="D1296" s="11" t="s">
        <v>2606</v>
      </c>
      <c r="E1296" s="12">
        <v>26</v>
      </c>
      <c r="F1296" s="13">
        <v>785.3</v>
      </c>
      <c r="G1296" s="14">
        <v>45674</v>
      </c>
      <c r="H1296" s="13">
        <v>785.3</v>
      </c>
      <c r="I1296" s="15" t="s">
        <v>24</v>
      </c>
      <c r="J1296" s="13"/>
      <c r="K1296" s="16" t="str">
        <f>IF(AND(H1296&gt;0,J1296&gt;0),(J1296-H1296)/H1296,"")</f>
        <v/>
      </c>
      <c r="L1296" s="13"/>
      <c r="M1296" s="16" t="str">
        <f>IF(AND(J1296&gt;0,L1296&gt;0),(L1296-J1296)/J1296,IF(AND(H1296&gt;0,L1296&gt;0),(L1296-H1296)/H1296,""))</f>
        <v/>
      </c>
      <c r="N1296" s="14">
        <v>45674</v>
      </c>
      <c r="O1296" s="13">
        <v>785.3</v>
      </c>
      <c r="P1296" s="16" t="str">
        <f>IF(AND(L1296&gt;0,O1296&gt;0),(O1296-L1296)/L1296,"")</f>
        <v/>
      </c>
      <c r="Q1296" s="18"/>
      <c r="R1296" s="18">
        <v>1</v>
      </c>
      <c r="S1296" s="10">
        <f>IF(N1296&gt;0,TODAY()-N1296,"")</f>
        <v>437</v>
      </c>
    </row>
    <row r="1297" ht="17" customHeight="1" spans="1:19" x14ac:dyDescent="0.25">
      <c r="A1297" s="3" t="s">
        <v>2586</v>
      </c>
      <c r="B1297" s="3" t="s">
        <v>2586</v>
      </c>
      <c r="C1297" s="3" t="s">
        <v>2607</v>
      </c>
      <c r="D1297" s="3" t="s">
        <v>2608</v>
      </c>
      <c r="E1297" s="4">
        <v>2</v>
      </c>
      <c r="F1297" s="5">
        <v>2559.5</v>
      </c>
      <c r="G1297" s="6">
        <v>45726</v>
      </c>
      <c r="H1297" s="5">
        <v>2853.59</v>
      </c>
      <c r="I1297" s="7" t="s">
        <v>24</v>
      </c>
      <c r="J1297" s="5"/>
      <c r="K1297" s="8" t="str">
        <f>IF(AND(H1297&gt;0,J1297&gt;0),(J1297-H1297)/H1297,"")</f>
        <v/>
      </c>
      <c r="L1297" s="5"/>
      <c r="M1297" s="8" t="str">
        <f>IF(AND(J1297&gt;0,L1297&gt;0),(L1297-J1297)/J1297,IF(AND(H1297&gt;0,L1297&gt;0),(L1297-H1297)/H1297,""))</f>
        <v/>
      </c>
      <c r="N1297" s="6">
        <v>45741</v>
      </c>
      <c r="O1297" s="5">
        <v>2265.41</v>
      </c>
      <c r="P1297" s="8" t="str">
        <f>IF(AND(L1297&gt;0,O1297&gt;0),(O1297-L1297)/L1297,"")</f>
        <v/>
      </c>
      <c r="Q1297" s="9">
        <v>15</v>
      </c>
      <c r="R1297" s="9">
        <v>2</v>
      </c>
      <c r="S1297" s="10">
        <f>IF(N1297&gt;0,TODAY()-N1297,"")</f>
        <v>370</v>
      </c>
    </row>
    <row r="1298" ht="22" customHeight="1" spans="1:19" x14ac:dyDescent="0.25">
      <c r="A1298" s="29" t="s">
        <v>2609</v>
      </c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</row>
    <row r="1299" ht="17" customHeight="1" spans="1:19" x14ac:dyDescent="0.25">
      <c r="A1299" s="3" t="s">
        <v>2610</v>
      </c>
      <c r="B1299" s="3" t="s">
        <v>2610</v>
      </c>
      <c r="C1299" s="3" t="s">
        <v>2611</v>
      </c>
      <c r="D1299" s="3" t="s">
        <v>2612</v>
      </c>
      <c r="E1299" s="4">
        <v>4</v>
      </c>
      <c r="F1299" s="5">
        <v>630</v>
      </c>
      <c r="G1299" s="6">
        <v>45889</v>
      </c>
      <c r="H1299" s="5">
        <v>630</v>
      </c>
      <c r="I1299" s="7" t="s">
        <v>24</v>
      </c>
      <c r="J1299" s="5"/>
      <c r="K1299" s="8" t="str">
        <f>IF(AND(H1299&gt;0,J1299&gt;0),(J1299-H1299)/H1299,"")</f>
        <v/>
      </c>
      <c r="L1299" s="5"/>
      <c r="M1299" s="8" t="str">
        <f>IF(AND(J1299&gt;0,L1299&gt;0),(L1299-J1299)/J1299,IF(AND(H1299&gt;0,L1299&gt;0),(L1299-H1299)/H1299,""))</f>
        <v/>
      </c>
      <c r="N1299" s="6">
        <v>45889</v>
      </c>
      <c r="O1299" s="5">
        <v>630</v>
      </c>
      <c r="P1299" s="8" t="str">
        <f>IF(AND(L1299&gt;0,O1299&gt;0),(O1299-L1299)/L1299,"")</f>
        <v/>
      </c>
      <c r="Q1299" s="9"/>
      <c r="R1299" s="9">
        <v>1</v>
      </c>
      <c r="S1299" s="10">
        <f>IF(N1299&gt;0,TODAY()-N1299,"")</f>
        <v>222</v>
      </c>
    </row>
    <row r="1300" ht="17" customHeight="1" spans="1:19" x14ac:dyDescent="0.25">
      <c r="A1300" s="11" t="s">
        <v>2610</v>
      </c>
      <c r="B1300" s="11" t="s">
        <v>2610</v>
      </c>
      <c r="C1300" s="11" t="s">
        <v>2613</v>
      </c>
      <c r="D1300" s="11" t="s">
        <v>2614</v>
      </c>
      <c r="E1300" s="12">
        <v>1</v>
      </c>
      <c r="F1300" s="13">
        <v>1051.23</v>
      </c>
      <c r="G1300" s="14">
        <v>45971</v>
      </c>
      <c r="H1300" s="13">
        <v>1051.23</v>
      </c>
      <c r="I1300" s="15" t="s">
        <v>60</v>
      </c>
      <c r="J1300" s="13">
        <v>1051.23</v>
      </c>
      <c r="K1300" s="17">
        <f>IF(AND(H1300&gt;0,J1300&gt;0),(J1300-H1300)/H1300,"")</f>
        <v>0</v>
      </c>
      <c r="L1300" s="13"/>
      <c r="M1300" s="16" t="str">
        <f>IF(AND(J1300&gt;0,L1300&gt;0),(L1300-J1300)/J1300,IF(AND(H1300&gt;0,L1300&gt;0),(L1300-H1300)/H1300,""))</f>
        <v/>
      </c>
      <c r="N1300" s="14">
        <v>45971</v>
      </c>
      <c r="O1300" s="13">
        <v>1051.23</v>
      </c>
      <c r="P1300" s="16" t="str">
        <f>IF(AND(L1300&gt;0,O1300&gt;0),(O1300-L1300)/L1300,"")</f>
        <v/>
      </c>
      <c r="Q1300" s="18"/>
      <c r="R1300" s="18">
        <v>1</v>
      </c>
      <c r="S1300" s="21">
        <f>IF(N1300&gt;0,TODAY()-N1300,"")</f>
        <v>140</v>
      </c>
    </row>
    <row r="1301" ht="17" customHeight="1" spans="1:19" x14ac:dyDescent="0.25">
      <c r="A1301" s="3" t="s">
        <v>2610</v>
      </c>
      <c r="B1301" s="3" t="s">
        <v>2610</v>
      </c>
      <c r="C1301" s="3" t="s">
        <v>2615</v>
      </c>
      <c r="D1301" s="3" t="s">
        <v>2616</v>
      </c>
      <c r="E1301" s="4">
        <v>8</v>
      </c>
      <c r="F1301" s="5">
        <v>20.8325</v>
      </c>
      <c r="G1301" s="6">
        <v>45930</v>
      </c>
      <c r="H1301" s="5">
        <v>20.83</v>
      </c>
      <c r="I1301" s="7" t="s">
        <v>24</v>
      </c>
      <c r="J1301" s="5"/>
      <c r="K1301" s="8" t="str">
        <f>IF(AND(H1301&gt;0,J1301&gt;0),(J1301-H1301)/H1301,"")</f>
        <v/>
      </c>
      <c r="L1301" s="5"/>
      <c r="M1301" s="8" t="str">
        <f>IF(AND(J1301&gt;0,L1301&gt;0),(L1301-J1301)/J1301,IF(AND(H1301&gt;0,L1301&gt;0),(L1301-H1301)/H1301,""))</f>
        <v/>
      </c>
      <c r="N1301" s="6">
        <v>45930</v>
      </c>
      <c r="O1301" s="5">
        <v>20.83</v>
      </c>
      <c r="P1301" s="8" t="str">
        <f>IF(AND(L1301&gt;0,O1301&gt;0),(O1301-L1301)/L1301,"")</f>
        <v/>
      </c>
      <c r="Q1301" s="9"/>
      <c r="R1301" s="9">
        <v>1</v>
      </c>
      <c r="S1301" s="10">
        <f>IF(N1301&gt;0,TODAY()-N1301,"")</f>
        <v>181</v>
      </c>
    </row>
    <row r="1302" ht="17" customHeight="1" spans="1:19" x14ac:dyDescent="0.25">
      <c r="A1302" s="11" t="s">
        <v>2610</v>
      </c>
      <c r="B1302" s="11" t="s">
        <v>2610</v>
      </c>
      <c r="C1302" s="11" t="s">
        <v>2617</v>
      </c>
      <c r="D1302" s="11" t="s">
        <v>2618</v>
      </c>
      <c r="E1302" s="12">
        <v>3</v>
      </c>
      <c r="F1302" s="13">
        <v>113.33333333333333</v>
      </c>
      <c r="G1302" s="14">
        <v>45930</v>
      </c>
      <c r="H1302" s="13">
        <v>113.33</v>
      </c>
      <c r="I1302" s="15" t="s">
        <v>24</v>
      </c>
      <c r="J1302" s="13"/>
      <c r="K1302" s="16" t="str">
        <f>IF(AND(H1302&gt;0,J1302&gt;0),(J1302-H1302)/H1302,"")</f>
        <v/>
      </c>
      <c r="L1302" s="13"/>
      <c r="M1302" s="16" t="str">
        <f>IF(AND(J1302&gt;0,L1302&gt;0),(L1302-J1302)/J1302,IF(AND(H1302&gt;0,L1302&gt;0),(L1302-H1302)/H1302,""))</f>
        <v/>
      </c>
      <c r="N1302" s="14">
        <v>45930</v>
      </c>
      <c r="O1302" s="13">
        <v>113.33</v>
      </c>
      <c r="P1302" s="16" t="str">
        <f>IF(AND(L1302&gt;0,O1302&gt;0),(O1302-L1302)/L1302,"")</f>
        <v/>
      </c>
      <c r="Q1302" s="18"/>
      <c r="R1302" s="18">
        <v>1</v>
      </c>
      <c r="S1302" s="10">
        <f>IF(N1302&gt;0,TODAY()-N1302,"")</f>
        <v>181</v>
      </c>
    </row>
    <row r="1303" ht="17" customHeight="1" spans="1:19" x14ac:dyDescent="0.25">
      <c r="A1303" s="3" t="s">
        <v>2610</v>
      </c>
      <c r="B1303" s="3" t="s">
        <v>2610</v>
      </c>
      <c r="C1303" s="3" t="s">
        <v>2619</v>
      </c>
      <c r="D1303" s="3" t="s">
        <v>2620</v>
      </c>
      <c r="E1303" s="4">
        <v>3</v>
      </c>
      <c r="F1303" s="5">
        <v>1097</v>
      </c>
      <c r="G1303" s="6">
        <v>45891</v>
      </c>
      <c r="H1303" s="5">
        <v>1097</v>
      </c>
      <c r="I1303" s="7" t="s">
        <v>24</v>
      </c>
      <c r="J1303" s="5"/>
      <c r="K1303" s="8" t="str">
        <f>IF(AND(H1303&gt;0,J1303&gt;0),(J1303-H1303)/H1303,"")</f>
        <v/>
      </c>
      <c r="L1303" s="5"/>
      <c r="M1303" s="8" t="str">
        <f>IF(AND(J1303&gt;0,L1303&gt;0),(L1303-J1303)/J1303,IF(AND(H1303&gt;0,L1303&gt;0),(L1303-H1303)/H1303,""))</f>
        <v/>
      </c>
      <c r="N1303" s="6">
        <v>45891</v>
      </c>
      <c r="O1303" s="5">
        <v>1097</v>
      </c>
      <c r="P1303" s="8" t="str">
        <f>IF(AND(L1303&gt;0,O1303&gt;0),(O1303-L1303)/L1303,"")</f>
        <v/>
      </c>
      <c r="Q1303" s="9"/>
      <c r="R1303" s="9">
        <v>1</v>
      </c>
      <c r="S1303" s="10">
        <f>IF(N1303&gt;0,TODAY()-N1303,"")</f>
        <v>220</v>
      </c>
    </row>
    <row r="1304" ht="17" customHeight="1" spans="1:19" x14ac:dyDescent="0.25">
      <c r="A1304" s="11" t="s">
        <v>2610</v>
      </c>
      <c r="B1304" s="11" t="s">
        <v>2610</v>
      </c>
      <c r="C1304" s="11" t="s">
        <v>2621</v>
      </c>
      <c r="D1304" s="11" t="s">
        <v>2622</v>
      </c>
      <c r="E1304" s="12">
        <v>2</v>
      </c>
      <c r="F1304" s="13">
        <v>83.335</v>
      </c>
      <c r="G1304" s="14">
        <v>45930</v>
      </c>
      <c r="H1304" s="13">
        <v>83.33</v>
      </c>
      <c r="I1304" s="15" t="s">
        <v>24</v>
      </c>
      <c r="J1304" s="13"/>
      <c r="K1304" s="16" t="str">
        <f>IF(AND(H1304&gt;0,J1304&gt;0),(J1304-H1304)/H1304,"")</f>
        <v/>
      </c>
      <c r="L1304" s="13"/>
      <c r="M1304" s="16" t="str">
        <f>IF(AND(J1304&gt;0,L1304&gt;0),(L1304-J1304)/J1304,IF(AND(H1304&gt;0,L1304&gt;0),(L1304-H1304)/H1304,""))</f>
        <v/>
      </c>
      <c r="N1304" s="14">
        <v>45930</v>
      </c>
      <c r="O1304" s="13">
        <v>83.33</v>
      </c>
      <c r="P1304" s="16" t="str">
        <f>IF(AND(L1304&gt;0,O1304&gt;0),(O1304-L1304)/L1304,"")</f>
        <v/>
      </c>
      <c r="Q1304" s="18"/>
      <c r="R1304" s="18">
        <v>1</v>
      </c>
      <c r="S1304" s="10">
        <f>IF(N1304&gt;0,TODAY()-N1304,"")</f>
        <v>181</v>
      </c>
    </row>
    <row r="1305" ht="17" customHeight="1" spans="1:19" x14ac:dyDescent="0.25">
      <c r="A1305" s="3" t="s">
        <v>2610</v>
      </c>
      <c r="B1305" s="3" t="s">
        <v>2610</v>
      </c>
      <c r="C1305" s="3" t="s">
        <v>2623</v>
      </c>
      <c r="D1305" s="3" t="s">
        <v>2624</v>
      </c>
      <c r="E1305" s="4">
        <v>1</v>
      </c>
      <c r="F1305" s="5">
        <v>12776.99</v>
      </c>
      <c r="G1305" s="6">
        <v>45918</v>
      </c>
      <c r="H1305" s="5">
        <v>12776.99</v>
      </c>
      <c r="I1305" s="7" t="s">
        <v>24</v>
      </c>
      <c r="J1305" s="5"/>
      <c r="K1305" s="8" t="str">
        <f>IF(AND(H1305&gt;0,J1305&gt;0),(J1305-H1305)/H1305,"")</f>
        <v/>
      </c>
      <c r="L1305" s="5"/>
      <c r="M1305" s="8" t="str">
        <f>IF(AND(J1305&gt;0,L1305&gt;0),(L1305-J1305)/J1305,IF(AND(H1305&gt;0,L1305&gt;0),(L1305-H1305)/H1305,""))</f>
        <v/>
      </c>
      <c r="N1305" s="6">
        <v>45918</v>
      </c>
      <c r="O1305" s="5">
        <v>12776.99</v>
      </c>
      <c r="P1305" s="8" t="str">
        <f>IF(AND(L1305&gt;0,O1305&gt;0),(O1305-L1305)/L1305,"")</f>
        <v/>
      </c>
      <c r="Q1305" s="9"/>
      <c r="R1305" s="9">
        <v>1</v>
      </c>
      <c r="S1305" s="10">
        <f>IF(N1305&gt;0,TODAY()-N1305,"")</f>
        <v>193</v>
      </c>
    </row>
    <row r="1306" ht="17" customHeight="1" spans="1:19" x14ac:dyDescent="0.25">
      <c r="A1306" s="11" t="s">
        <v>2610</v>
      </c>
      <c r="B1306" s="11" t="s">
        <v>2610</v>
      </c>
      <c r="C1306" s="11" t="s">
        <v>2625</v>
      </c>
      <c r="D1306" s="11" t="s">
        <v>2626</v>
      </c>
      <c r="E1306" s="12">
        <v>1</v>
      </c>
      <c r="F1306" s="13">
        <v>18753.33</v>
      </c>
      <c r="G1306" s="14">
        <v>45918</v>
      </c>
      <c r="H1306" s="13">
        <v>18753.33</v>
      </c>
      <c r="I1306" s="15" t="s">
        <v>24</v>
      </c>
      <c r="J1306" s="13"/>
      <c r="K1306" s="16" t="str">
        <f>IF(AND(H1306&gt;0,J1306&gt;0),(J1306-H1306)/H1306,"")</f>
        <v/>
      </c>
      <c r="L1306" s="13"/>
      <c r="M1306" s="16" t="str">
        <f>IF(AND(J1306&gt;0,L1306&gt;0),(L1306-J1306)/J1306,IF(AND(H1306&gt;0,L1306&gt;0),(L1306-H1306)/H1306,""))</f>
        <v/>
      </c>
      <c r="N1306" s="14">
        <v>45918</v>
      </c>
      <c r="O1306" s="13">
        <v>18753.33</v>
      </c>
      <c r="P1306" s="16" t="str">
        <f>IF(AND(L1306&gt;0,O1306&gt;0),(O1306-L1306)/L1306,"")</f>
        <v/>
      </c>
      <c r="Q1306" s="18"/>
      <c r="R1306" s="18">
        <v>1</v>
      </c>
      <c r="S1306" s="10">
        <f>IF(N1306&gt;0,TODAY()-N1306,"")</f>
        <v>193</v>
      </c>
    </row>
    <row r="1307" ht="17" customHeight="1" spans="1:19" x14ac:dyDescent="0.25">
      <c r="A1307" s="3" t="s">
        <v>2610</v>
      </c>
      <c r="B1307" s="3" t="s">
        <v>2610</v>
      </c>
      <c r="C1307" s="3" t="s">
        <v>2627</v>
      </c>
      <c r="D1307" s="3" t="s">
        <v>2628</v>
      </c>
      <c r="E1307" s="4">
        <v>1</v>
      </c>
      <c r="F1307" s="5">
        <v>24729.66</v>
      </c>
      <c r="G1307" s="6">
        <v>45918</v>
      </c>
      <c r="H1307" s="5">
        <v>24729.66</v>
      </c>
      <c r="I1307" s="7" t="s">
        <v>24</v>
      </c>
      <c r="J1307" s="5"/>
      <c r="K1307" s="8" t="str">
        <f>IF(AND(H1307&gt;0,J1307&gt;0),(J1307-H1307)/H1307,"")</f>
        <v/>
      </c>
      <c r="L1307" s="5"/>
      <c r="M1307" s="8" t="str">
        <f>IF(AND(J1307&gt;0,L1307&gt;0),(L1307-J1307)/J1307,IF(AND(H1307&gt;0,L1307&gt;0),(L1307-H1307)/H1307,""))</f>
        <v/>
      </c>
      <c r="N1307" s="6">
        <v>45918</v>
      </c>
      <c r="O1307" s="5">
        <v>24729.66</v>
      </c>
      <c r="P1307" s="8" t="str">
        <f>IF(AND(L1307&gt;0,O1307&gt;0),(O1307-L1307)/L1307,"")</f>
        <v/>
      </c>
      <c r="Q1307" s="9"/>
      <c r="R1307" s="9">
        <v>1</v>
      </c>
      <c r="S1307" s="10">
        <f>IF(N1307&gt;0,TODAY()-N1307,"")</f>
        <v>193</v>
      </c>
    </row>
    <row r="1308" ht="17" customHeight="1" spans="1:19" x14ac:dyDescent="0.25">
      <c r="A1308" s="11" t="s">
        <v>2610</v>
      </c>
      <c r="B1308" s="11" t="s">
        <v>2610</v>
      </c>
      <c r="C1308" s="11" t="s">
        <v>2629</v>
      </c>
      <c r="D1308" s="11" t="s">
        <v>2630</v>
      </c>
      <c r="E1308" s="12">
        <v>1</v>
      </c>
      <c r="F1308" s="13">
        <v>17000</v>
      </c>
      <c r="G1308" s="14">
        <v>45995</v>
      </c>
      <c r="H1308" s="13">
        <v>17000</v>
      </c>
      <c r="I1308" s="15" t="s">
        <v>54</v>
      </c>
      <c r="J1308" s="13">
        <v>17000</v>
      </c>
      <c r="K1308" s="17">
        <f>IF(AND(H1308&gt;0,J1308&gt;0),(J1308-H1308)/H1308,"")</f>
        <v>0</v>
      </c>
      <c r="L1308" s="13"/>
      <c r="M1308" s="16" t="str">
        <f>IF(AND(J1308&gt;0,L1308&gt;0),(L1308-J1308)/J1308,IF(AND(H1308&gt;0,L1308&gt;0),(L1308-H1308)/H1308,""))</f>
        <v/>
      </c>
      <c r="N1308" s="14">
        <v>45995</v>
      </c>
      <c r="O1308" s="13">
        <v>17000</v>
      </c>
      <c r="P1308" s="16" t="str">
        <f>IF(AND(L1308&gt;0,O1308&gt;0),(O1308-L1308)/L1308,"")</f>
        <v/>
      </c>
      <c r="Q1308" s="18"/>
      <c r="R1308" s="18">
        <v>1</v>
      </c>
      <c r="S1308" s="21">
        <f>IF(N1308&gt;0,TODAY()-N1308,"")</f>
        <v>116</v>
      </c>
    </row>
    <row r="1309" ht="17" customHeight="1" spans="1:19" x14ac:dyDescent="0.25">
      <c r="A1309" s="3" t="s">
        <v>2610</v>
      </c>
      <c r="B1309" s="3" t="s">
        <v>2610</v>
      </c>
      <c r="C1309" s="3" t="s">
        <v>2631</v>
      </c>
      <c r="D1309" s="3" t="s">
        <v>2632</v>
      </c>
      <c r="E1309" s="4">
        <v>1</v>
      </c>
      <c r="F1309" s="5">
        <v>571.9</v>
      </c>
      <c r="G1309" s="6">
        <v>45785</v>
      </c>
      <c r="H1309" s="5">
        <v>571.9</v>
      </c>
      <c r="I1309" s="7" t="s">
        <v>24</v>
      </c>
      <c r="J1309" s="5"/>
      <c r="K1309" s="8" t="str">
        <f>IF(AND(H1309&gt;0,J1309&gt;0),(J1309-H1309)/H1309,"")</f>
        <v/>
      </c>
      <c r="L1309" s="5"/>
      <c r="M1309" s="8" t="str">
        <f>IF(AND(J1309&gt;0,L1309&gt;0),(L1309-J1309)/J1309,IF(AND(H1309&gt;0,L1309&gt;0),(L1309-H1309)/H1309,""))</f>
        <v/>
      </c>
      <c r="N1309" s="6">
        <v>45785</v>
      </c>
      <c r="O1309" s="5">
        <v>571.9</v>
      </c>
      <c r="P1309" s="8" t="str">
        <f>IF(AND(L1309&gt;0,O1309&gt;0),(O1309-L1309)/L1309,"")</f>
        <v/>
      </c>
      <c r="Q1309" s="9"/>
      <c r="R1309" s="9">
        <v>1</v>
      </c>
      <c r="S1309" s="10">
        <f>IF(N1309&gt;0,TODAY()-N1309,"")</f>
        <v>326</v>
      </c>
    </row>
    <row r="1310" ht="17" customHeight="1" spans="1:19" x14ac:dyDescent="0.25">
      <c r="A1310" s="11" t="s">
        <v>2610</v>
      </c>
      <c r="B1310" s="11" t="s">
        <v>2610</v>
      </c>
      <c r="C1310" s="11" t="s">
        <v>2633</v>
      </c>
      <c r="D1310" s="11" t="s">
        <v>2634</v>
      </c>
      <c r="E1310" s="12">
        <v>4</v>
      </c>
      <c r="F1310" s="13">
        <v>364.2</v>
      </c>
      <c r="G1310" s="14">
        <v>46052</v>
      </c>
      <c r="H1310" s="13">
        <v>364.2</v>
      </c>
      <c r="I1310" s="15" t="s">
        <v>24</v>
      </c>
      <c r="J1310" s="13"/>
      <c r="K1310" s="16" t="str">
        <f>IF(AND(H1310&gt;0,J1310&gt;0),(J1310-H1310)/H1310,"")</f>
        <v/>
      </c>
      <c r="L1310" s="13">
        <v>364.2</v>
      </c>
      <c r="M1310" s="17">
        <f>IF(AND(J1310&gt;0,L1310&gt;0),(L1310-J1310)/J1310,IF(AND(H1310&gt;0,L1310&gt;0),(L1310-H1310)/H1310,""))</f>
        <v>0</v>
      </c>
      <c r="N1310" s="14">
        <v>46052</v>
      </c>
      <c r="O1310" s="13">
        <v>364.2</v>
      </c>
      <c r="P1310" s="16" t="str">
        <f>IF(AND(L1310&gt;0,O1310&gt;0),(O1310-L1310)/L1310,"")</f>
        <v/>
      </c>
      <c r="Q1310" s="18"/>
      <c r="R1310" s="18">
        <v>1</v>
      </c>
      <c r="S1310" s="18">
        <f>IF(N1310&gt;0,TODAY()-N1310,"")</f>
        <v>59</v>
      </c>
    </row>
    <row r="1311" ht="17" customHeight="1" spans="1:19" x14ac:dyDescent="0.25">
      <c r="A1311" s="3" t="s">
        <v>2610</v>
      </c>
      <c r="B1311" s="3" t="s">
        <v>2610</v>
      </c>
      <c r="C1311" s="3" t="s">
        <v>2635</v>
      </c>
      <c r="D1311" s="3" t="s">
        <v>2636</v>
      </c>
      <c r="E1311" s="4">
        <v>2</v>
      </c>
      <c r="F1311" s="5">
        <v>416.23</v>
      </c>
      <c r="G1311" s="6">
        <v>46052</v>
      </c>
      <c r="H1311" s="5">
        <v>416.23</v>
      </c>
      <c r="I1311" s="7" t="s">
        <v>24</v>
      </c>
      <c r="J1311" s="5"/>
      <c r="K1311" s="8" t="str">
        <f>IF(AND(H1311&gt;0,J1311&gt;0),(J1311-H1311)/H1311,"")</f>
        <v/>
      </c>
      <c r="L1311" s="5">
        <v>416.23</v>
      </c>
      <c r="M1311" s="24">
        <f>IF(AND(J1311&gt;0,L1311&gt;0),(L1311-J1311)/J1311,IF(AND(H1311&gt;0,L1311&gt;0),(L1311-H1311)/H1311,""))</f>
        <v>0</v>
      </c>
      <c r="N1311" s="6">
        <v>46052</v>
      </c>
      <c r="O1311" s="5">
        <v>416.23</v>
      </c>
      <c r="P1311" s="8" t="str">
        <f>IF(AND(L1311&gt;0,O1311&gt;0),(O1311-L1311)/L1311,"")</f>
        <v/>
      </c>
      <c r="Q1311" s="9"/>
      <c r="R1311" s="9">
        <v>1</v>
      </c>
      <c r="S1311" s="9">
        <f>IF(N1311&gt;0,TODAY()-N1311,"")</f>
        <v>59</v>
      </c>
    </row>
    <row r="1312" ht="17" customHeight="1" spans="1:19" x14ac:dyDescent="0.25">
      <c r="A1312" s="11" t="s">
        <v>2610</v>
      </c>
      <c r="B1312" s="11" t="s">
        <v>2610</v>
      </c>
      <c r="C1312" s="11" t="s">
        <v>2637</v>
      </c>
      <c r="D1312" s="11" t="s">
        <v>1013</v>
      </c>
      <c r="E1312" s="12">
        <v>1</v>
      </c>
      <c r="F1312" s="13">
        <v>30483.75</v>
      </c>
      <c r="G1312" s="14">
        <v>45666</v>
      </c>
      <c r="H1312" s="13">
        <v>30483.75</v>
      </c>
      <c r="I1312" s="15" t="s">
        <v>24</v>
      </c>
      <c r="J1312" s="13"/>
      <c r="K1312" s="16" t="str">
        <f>IF(AND(H1312&gt;0,J1312&gt;0),(J1312-H1312)/H1312,"")</f>
        <v/>
      </c>
      <c r="L1312" s="13"/>
      <c r="M1312" s="16" t="str">
        <f>IF(AND(J1312&gt;0,L1312&gt;0),(L1312-J1312)/J1312,IF(AND(H1312&gt;0,L1312&gt;0),(L1312-H1312)/H1312,""))</f>
        <v/>
      </c>
      <c r="N1312" s="14">
        <v>45666</v>
      </c>
      <c r="O1312" s="13">
        <v>30483.75</v>
      </c>
      <c r="P1312" s="16" t="str">
        <f>IF(AND(L1312&gt;0,O1312&gt;0),(O1312-L1312)/L1312,"")</f>
        <v/>
      </c>
      <c r="Q1312" s="18"/>
      <c r="R1312" s="18">
        <v>1</v>
      </c>
      <c r="S1312" s="10">
        <f>IF(N1312&gt;0,TODAY()-N1312,"")</f>
        <v>445</v>
      </c>
    </row>
    <row r="1313" ht="17" customHeight="1" spans="1:19" x14ac:dyDescent="0.25">
      <c r="A1313" s="3" t="s">
        <v>2610</v>
      </c>
      <c r="B1313" s="3" t="s">
        <v>2610</v>
      </c>
      <c r="C1313" s="3" t="s">
        <v>2638</v>
      </c>
      <c r="D1313" s="3" t="s">
        <v>2639</v>
      </c>
      <c r="E1313" s="4">
        <v>2</v>
      </c>
      <c r="F1313" s="5">
        <v>1338.31</v>
      </c>
      <c r="G1313" s="6">
        <v>45849</v>
      </c>
      <c r="H1313" s="5">
        <v>1338.31</v>
      </c>
      <c r="I1313" s="7" t="s">
        <v>24</v>
      </c>
      <c r="J1313" s="5"/>
      <c r="K1313" s="8" t="str">
        <f>IF(AND(H1313&gt;0,J1313&gt;0),(J1313-H1313)/H1313,"")</f>
        <v/>
      </c>
      <c r="L1313" s="5"/>
      <c r="M1313" s="8" t="str">
        <f>IF(AND(J1313&gt;0,L1313&gt;0),(L1313-J1313)/J1313,IF(AND(H1313&gt;0,L1313&gt;0),(L1313-H1313)/H1313,""))</f>
        <v/>
      </c>
      <c r="N1313" s="6">
        <v>45849</v>
      </c>
      <c r="O1313" s="5">
        <v>1338.31</v>
      </c>
      <c r="P1313" s="8" t="str">
        <f>IF(AND(L1313&gt;0,O1313&gt;0),(O1313-L1313)/L1313,"")</f>
        <v/>
      </c>
      <c r="Q1313" s="9"/>
      <c r="R1313" s="9">
        <v>1</v>
      </c>
      <c r="S1313" s="10">
        <f>IF(N1313&gt;0,TODAY()-N1313,"")</f>
        <v>262</v>
      </c>
    </row>
    <row r="1314" ht="17" customHeight="1" spans="1:19" x14ac:dyDescent="0.25">
      <c r="A1314" s="11" t="s">
        <v>2610</v>
      </c>
      <c r="B1314" s="11" t="s">
        <v>2610</v>
      </c>
      <c r="C1314" s="11" t="s">
        <v>2640</v>
      </c>
      <c r="D1314" s="11" t="s">
        <v>2641</v>
      </c>
      <c r="E1314" s="12">
        <v>2</v>
      </c>
      <c r="F1314" s="13">
        <v>583.335</v>
      </c>
      <c r="G1314" s="14">
        <v>45887</v>
      </c>
      <c r="H1314" s="13">
        <v>583.34</v>
      </c>
      <c r="I1314" s="15" t="s">
        <v>24</v>
      </c>
      <c r="J1314" s="13"/>
      <c r="K1314" s="16" t="str">
        <f>IF(AND(H1314&gt;0,J1314&gt;0),(J1314-H1314)/H1314,"")</f>
        <v/>
      </c>
      <c r="L1314" s="13"/>
      <c r="M1314" s="16" t="str">
        <f>IF(AND(J1314&gt;0,L1314&gt;0),(L1314-J1314)/J1314,IF(AND(H1314&gt;0,L1314&gt;0),(L1314-H1314)/H1314,""))</f>
        <v/>
      </c>
      <c r="N1314" s="14">
        <v>45887</v>
      </c>
      <c r="O1314" s="13">
        <v>583.34</v>
      </c>
      <c r="P1314" s="16" t="str">
        <f>IF(AND(L1314&gt;0,O1314&gt;0),(O1314-L1314)/L1314,"")</f>
        <v/>
      </c>
      <c r="Q1314" s="18"/>
      <c r="R1314" s="18">
        <v>1</v>
      </c>
      <c r="S1314" s="10">
        <f>IF(N1314&gt;0,TODAY()-N1314,"")</f>
        <v>224</v>
      </c>
    </row>
    <row r="1315" ht="17" customHeight="1" spans="1:19" x14ac:dyDescent="0.25">
      <c r="A1315" s="3" t="s">
        <v>2610</v>
      </c>
      <c r="B1315" s="3" t="s">
        <v>2610</v>
      </c>
      <c r="C1315" s="3" t="s">
        <v>2642</v>
      </c>
      <c r="D1315" s="3" t="s">
        <v>2643</v>
      </c>
      <c r="E1315" s="4">
        <v>4</v>
      </c>
      <c r="F1315" s="5">
        <v>400</v>
      </c>
      <c r="G1315" s="6">
        <v>45720</v>
      </c>
      <c r="H1315" s="5">
        <v>400</v>
      </c>
      <c r="I1315" s="7" t="s">
        <v>24</v>
      </c>
      <c r="J1315" s="5"/>
      <c r="K1315" s="8" t="str">
        <f>IF(AND(H1315&gt;0,J1315&gt;0),(J1315-H1315)/H1315,"")</f>
        <v/>
      </c>
      <c r="L1315" s="5"/>
      <c r="M1315" s="8" t="str">
        <f>IF(AND(J1315&gt;0,L1315&gt;0),(L1315-J1315)/J1315,IF(AND(H1315&gt;0,L1315&gt;0),(L1315-H1315)/H1315,""))</f>
        <v/>
      </c>
      <c r="N1315" s="6">
        <v>45720</v>
      </c>
      <c r="O1315" s="5">
        <v>400</v>
      </c>
      <c r="P1315" s="8" t="str">
        <f>IF(AND(L1315&gt;0,O1315&gt;0),(O1315-L1315)/L1315,"")</f>
        <v/>
      </c>
      <c r="Q1315" s="9"/>
      <c r="R1315" s="9">
        <v>1</v>
      </c>
      <c r="S1315" s="10">
        <f>IF(N1315&gt;0,TODAY()-N1315,"")</f>
        <v>391</v>
      </c>
    </row>
    <row r="1316" ht="17" customHeight="1" spans="1:19" x14ac:dyDescent="0.25">
      <c r="A1316" s="11" t="s">
        <v>2610</v>
      </c>
      <c r="B1316" s="11" t="s">
        <v>2610</v>
      </c>
      <c r="C1316" s="11" t="s">
        <v>2644</v>
      </c>
      <c r="D1316" s="11" t="s">
        <v>2645</v>
      </c>
      <c r="E1316" s="12">
        <v>1</v>
      </c>
      <c r="F1316" s="13">
        <v>5070</v>
      </c>
      <c r="G1316" s="14">
        <v>45694</v>
      </c>
      <c r="H1316" s="13">
        <v>5070</v>
      </c>
      <c r="I1316" s="15" t="s">
        <v>24</v>
      </c>
      <c r="J1316" s="13"/>
      <c r="K1316" s="16" t="str">
        <f>IF(AND(H1316&gt;0,J1316&gt;0),(J1316-H1316)/H1316,"")</f>
        <v/>
      </c>
      <c r="L1316" s="13"/>
      <c r="M1316" s="16" t="str">
        <f>IF(AND(J1316&gt;0,L1316&gt;0),(L1316-J1316)/J1316,IF(AND(H1316&gt;0,L1316&gt;0),(L1316-H1316)/H1316,""))</f>
        <v/>
      </c>
      <c r="N1316" s="14">
        <v>45694</v>
      </c>
      <c r="O1316" s="13">
        <v>5070</v>
      </c>
      <c r="P1316" s="16" t="str">
        <f>IF(AND(L1316&gt;0,O1316&gt;0),(O1316-L1316)/L1316,"")</f>
        <v/>
      </c>
      <c r="Q1316" s="18"/>
      <c r="R1316" s="18">
        <v>1</v>
      </c>
      <c r="S1316" s="10">
        <f>IF(N1316&gt;0,TODAY()-N1316,"")</f>
        <v>417</v>
      </c>
    </row>
    <row r="1317" ht="17" customHeight="1" spans="1:19" x14ac:dyDescent="0.25">
      <c r="A1317" s="3" t="s">
        <v>2610</v>
      </c>
      <c r="B1317" s="3" t="s">
        <v>2610</v>
      </c>
      <c r="C1317" s="3" t="s">
        <v>2646</v>
      </c>
      <c r="D1317" s="3" t="s">
        <v>2647</v>
      </c>
      <c r="E1317" s="4">
        <v>1</v>
      </c>
      <c r="F1317" s="5">
        <v>14000</v>
      </c>
      <c r="G1317" s="6">
        <v>45694</v>
      </c>
      <c r="H1317" s="5">
        <v>14000</v>
      </c>
      <c r="I1317" s="7" t="s">
        <v>24</v>
      </c>
      <c r="J1317" s="5"/>
      <c r="K1317" s="8" t="str">
        <f>IF(AND(H1317&gt;0,J1317&gt;0),(J1317-H1317)/H1317,"")</f>
        <v/>
      </c>
      <c r="L1317" s="5"/>
      <c r="M1317" s="8" t="str">
        <f>IF(AND(J1317&gt;0,L1317&gt;0),(L1317-J1317)/J1317,IF(AND(H1317&gt;0,L1317&gt;0),(L1317-H1317)/H1317,""))</f>
        <v/>
      </c>
      <c r="N1317" s="6">
        <v>45694</v>
      </c>
      <c r="O1317" s="5">
        <v>14000</v>
      </c>
      <c r="P1317" s="8" t="str">
        <f>IF(AND(L1317&gt;0,O1317&gt;0),(O1317-L1317)/L1317,"")</f>
        <v/>
      </c>
      <c r="Q1317" s="9"/>
      <c r="R1317" s="9">
        <v>1</v>
      </c>
      <c r="S1317" s="10">
        <f>IF(N1317&gt;0,TODAY()-N1317,"")</f>
        <v>417</v>
      </c>
    </row>
    <row r="1318" ht="17" customHeight="1" spans="1:19" x14ac:dyDescent="0.25">
      <c r="A1318" s="11" t="s">
        <v>2610</v>
      </c>
      <c r="B1318" s="11" t="s">
        <v>2610</v>
      </c>
      <c r="C1318" s="11" t="s">
        <v>2648</v>
      </c>
      <c r="D1318" s="11" t="s">
        <v>2649</v>
      </c>
      <c r="E1318" s="12">
        <v>1</v>
      </c>
      <c r="F1318" s="13">
        <v>5000</v>
      </c>
      <c r="G1318" s="14">
        <v>46064</v>
      </c>
      <c r="H1318" s="13">
        <v>5000</v>
      </c>
      <c r="I1318" s="15" t="s">
        <v>24</v>
      </c>
      <c r="J1318" s="13"/>
      <c r="K1318" s="16" t="str">
        <f>IF(AND(H1318&gt;0,J1318&gt;0),(J1318-H1318)/H1318,"")</f>
        <v/>
      </c>
      <c r="L1318" s="13"/>
      <c r="M1318" s="16" t="str">
        <f>IF(AND(J1318&gt;0,L1318&gt;0),(L1318-J1318)/J1318,IF(AND(H1318&gt;0,L1318&gt;0),(L1318-H1318)/H1318,""))</f>
        <v/>
      </c>
      <c r="N1318" s="14">
        <v>46064</v>
      </c>
      <c r="O1318" s="13">
        <v>5000</v>
      </c>
      <c r="P1318" s="17">
        <f>IF(AND(L1318&gt;0,O1318&gt;0),(O1318-L1318)/L1318,"")</f>
        <v>0</v>
      </c>
      <c r="Q1318" s="18"/>
      <c r="R1318" s="18">
        <v>1</v>
      </c>
      <c r="S1318" s="18">
        <f>IF(N1318&gt;0,TODAY()-N1318,"")</f>
        <v>47</v>
      </c>
    </row>
    <row r="1319" ht="17" customHeight="1" spans="1:19" x14ac:dyDescent="0.25">
      <c r="A1319" s="3" t="s">
        <v>2610</v>
      </c>
      <c r="B1319" s="3" t="s">
        <v>2610</v>
      </c>
      <c r="C1319" s="3" t="s">
        <v>2650</v>
      </c>
      <c r="D1319" s="3" t="s">
        <v>1604</v>
      </c>
      <c r="E1319" s="4">
        <v>2</v>
      </c>
      <c r="F1319" s="5">
        <v>800</v>
      </c>
      <c r="G1319" s="6">
        <v>45694</v>
      </c>
      <c r="H1319" s="5">
        <v>800</v>
      </c>
      <c r="I1319" s="7" t="s">
        <v>24</v>
      </c>
      <c r="J1319" s="5"/>
      <c r="K1319" s="8" t="str">
        <f>IF(AND(H1319&gt;0,J1319&gt;0),(J1319-H1319)/H1319,"")</f>
        <v/>
      </c>
      <c r="L1319" s="5"/>
      <c r="M1319" s="8" t="str">
        <f>IF(AND(J1319&gt;0,L1319&gt;0),(L1319-J1319)/J1319,IF(AND(H1319&gt;0,L1319&gt;0),(L1319-H1319)/H1319,""))</f>
        <v/>
      </c>
      <c r="N1319" s="6">
        <v>45694</v>
      </c>
      <c r="O1319" s="5">
        <v>800</v>
      </c>
      <c r="P1319" s="8" t="str">
        <f>IF(AND(L1319&gt;0,O1319&gt;0),(O1319-L1319)/L1319,"")</f>
        <v/>
      </c>
      <c r="Q1319" s="9"/>
      <c r="R1319" s="9">
        <v>1</v>
      </c>
      <c r="S1319" s="10">
        <f>IF(N1319&gt;0,TODAY()-N1319,"")</f>
        <v>417</v>
      </c>
    </row>
    <row r="1320" ht="17" customHeight="1" spans="1:19" x14ac:dyDescent="0.25">
      <c r="A1320" s="11" t="s">
        <v>2610</v>
      </c>
      <c r="B1320" s="11" t="s">
        <v>2610</v>
      </c>
      <c r="C1320" s="11" t="s">
        <v>2651</v>
      </c>
      <c r="D1320" s="11" t="s">
        <v>2652</v>
      </c>
      <c r="E1320" s="12">
        <v>3</v>
      </c>
      <c r="F1320" s="13">
        <v>800</v>
      </c>
      <c r="G1320" s="14">
        <v>45694</v>
      </c>
      <c r="H1320" s="13">
        <v>800</v>
      </c>
      <c r="I1320" s="15" t="s">
        <v>24</v>
      </c>
      <c r="J1320" s="13"/>
      <c r="K1320" s="16" t="str">
        <f>IF(AND(H1320&gt;0,J1320&gt;0),(J1320-H1320)/H1320,"")</f>
        <v/>
      </c>
      <c r="L1320" s="13"/>
      <c r="M1320" s="16" t="str">
        <f>IF(AND(J1320&gt;0,L1320&gt;0),(L1320-J1320)/J1320,IF(AND(H1320&gt;0,L1320&gt;0),(L1320-H1320)/H1320,""))</f>
        <v/>
      </c>
      <c r="N1320" s="14">
        <v>45694</v>
      </c>
      <c r="O1320" s="13">
        <v>800</v>
      </c>
      <c r="P1320" s="16" t="str">
        <f>IF(AND(L1320&gt;0,O1320&gt;0),(O1320-L1320)/L1320,"")</f>
        <v/>
      </c>
      <c r="Q1320" s="18"/>
      <c r="R1320" s="18">
        <v>1</v>
      </c>
      <c r="S1320" s="10">
        <f>IF(N1320&gt;0,TODAY()-N1320,"")</f>
        <v>417</v>
      </c>
    </row>
    <row r="1321" ht="17" customHeight="1" spans="1:19" x14ac:dyDescent="0.25">
      <c r="A1321" s="3" t="s">
        <v>2610</v>
      </c>
      <c r="B1321" s="3" t="s">
        <v>2610</v>
      </c>
      <c r="C1321" s="3" t="s">
        <v>2653</v>
      </c>
      <c r="D1321" s="3" t="s">
        <v>2654</v>
      </c>
      <c r="E1321" s="4">
        <v>4</v>
      </c>
      <c r="F1321" s="5">
        <v>1250</v>
      </c>
      <c r="G1321" s="6">
        <v>45694</v>
      </c>
      <c r="H1321" s="5">
        <v>1250</v>
      </c>
      <c r="I1321" s="7" t="s">
        <v>24</v>
      </c>
      <c r="J1321" s="5"/>
      <c r="K1321" s="8" t="str">
        <f>IF(AND(H1321&gt;0,J1321&gt;0),(J1321-H1321)/H1321,"")</f>
        <v/>
      </c>
      <c r="L1321" s="5"/>
      <c r="M1321" s="8" t="str">
        <f>IF(AND(J1321&gt;0,L1321&gt;0),(L1321-J1321)/J1321,IF(AND(H1321&gt;0,L1321&gt;0),(L1321-H1321)/H1321,""))</f>
        <v/>
      </c>
      <c r="N1321" s="6">
        <v>45694</v>
      </c>
      <c r="O1321" s="5">
        <v>1250</v>
      </c>
      <c r="P1321" s="8" t="str">
        <f>IF(AND(L1321&gt;0,O1321&gt;0),(O1321-L1321)/L1321,"")</f>
        <v/>
      </c>
      <c r="Q1321" s="9"/>
      <c r="R1321" s="9">
        <v>1</v>
      </c>
      <c r="S1321" s="10">
        <f>IF(N1321&gt;0,TODAY()-N1321,"")</f>
        <v>417</v>
      </c>
    </row>
    <row r="1322" ht="17" customHeight="1" spans="1:19" x14ac:dyDescent="0.25">
      <c r="A1322" s="11" t="s">
        <v>2610</v>
      </c>
      <c r="B1322" s="11" t="s">
        <v>2610</v>
      </c>
      <c r="C1322" s="11" t="s">
        <v>2655</v>
      </c>
      <c r="D1322" s="11" t="s">
        <v>2656</v>
      </c>
      <c r="E1322" s="12">
        <v>1</v>
      </c>
      <c r="F1322" s="13">
        <v>223.5</v>
      </c>
      <c r="G1322" s="14">
        <v>45950</v>
      </c>
      <c r="H1322" s="13">
        <v>223.5</v>
      </c>
      <c r="I1322" s="15" t="s">
        <v>57</v>
      </c>
      <c r="J1322" s="13">
        <v>223.5</v>
      </c>
      <c r="K1322" s="17">
        <f>IF(AND(H1322&gt;0,J1322&gt;0),(J1322-H1322)/H1322,"")</f>
        <v>0</v>
      </c>
      <c r="L1322" s="13"/>
      <c r="M1322" s="16" t="str">
        <f>IF(AND(J1322&gt;0,L1322&gt;0),(L1322-J1322)/J1322,IF(AND(H1322&gt;0,L1322&gt;0),(L1322-H1322)/H1322,""))</f>
        <v/>
      </c>
      <c r="N1322" s="14">
        <v>45950</v>
      </c>
      <c r="O1322" s="13">
        <v>223.5</v>
      </c>
      <c r="P1322" s="16" t="str">
        <f>IF(AND(L1322&gt;0,O1322&gt;0),(O1322-L1322)/L1322,"")</f>
        <v/>
      </c>
      <c r="Q1322" s="18"/>
      <c r="R1322" s="18">
        <v>1</v>
      </c>
      <c r="S1322" s="21">
        <f>IF(N1322&gt;0,TODAY()-N1322,"")</f>
        <v>161</v>
      </c>
    </row>
    <row r="1323" ht="17" customHeight="1" spans="1:19" x14ac:dyDescent="0.25">
      <c r="A1323" s="3" t="s">
        <v>2610</v>
      </c>
      <c r="B1323" s="3" t="s">
        <v>2610</v>
      </c>
      <c r="C1323" s="3" t="s">
        <v>2657</v>
      </c>
      <c r="D1323" s="3" t="s">
        <v>2658</v>
      </c>
      <c r="E1323" s="4">
        <v>10</v>
      </c>
      <c r="F1323" s="5">
        <v>90</v>
      </c>
      <c r="G1323" s="6">
        <v>45888</v>
      </c>
      <c r="H1323" s="5">
        <v>90</v>
      </c>
      <c r="I1323" s="7" t="s">
        <v>24</v>
      </c>
      <c r="J1323" s="5"/>
      <c r="K1323" s="8" t="str">
        <f>IF(AND(H1323&gt;0,J1323&gt;0),(J1323-H1323)/H1323,"")</f>
        <v/>
      </c>
      <c r="L1323" s="5"/>
      <c r="M1323" s="8" t="str">
        <f>IF(AND(J1323&gt;0,L1323&gt;0),(L1323-J1323)/J1323,IF(AND(H1323&gt;0,L1323&gt;0),(L1323-H1323)/H1323,""))</f>
        <v/>
      </c>
      <c r="N1323" s="6">
        <v>45888</v>
      </c>
      <c r="O1323" s="5">
        <v>90</v>
      </c>
      <c r="P1323" s="8" t="str">
        <f>IF(AND(L1323&gt;0,O1323&gt;0),(O1323-L1323)/L1323,"")</f>
        <v/>
      </c>
      <c r="Q1323" s="9"/>
      <c r="R1323" s="9">
        <v>1</v>
      </c>
      <c r="S1323" s="10">
        <f>IF(N1323&gt;0,TODAY()-N1323,"")</f>
        <v>223</v>
      </c>
    </row>
    <row r="1324" ht="17" customHeight="1" spans="1:19" x14ac:dyDescent="0.25">
      <c r="A1324" s="11" t="s">
        <v>2610</v>
      </c>
      <c r="B1324" s="11" t="s">
        <v>2610</v>
      </c>
      <c r="C1324" s="11" t="s">
        <v>2659</v>
      </c>
      <c r="D1324" s="11" t="s">
        <v>2660</v>
      </c>
      <c r="E1324" s="12">
        <v>10</v>
      </c>
      <c r="F1324" s="13">
        <v>30</v>
      </c>
      <c r="G1324" s="14">
        <v>45888</v>
      </c>
      <c r="H1324" s="13">
        <v>30</v>
      </c>
      <c r="I1324" s="15" t="s">
        <v>24</v>
      </c>
      <c r="J1324" s="13"/>
      <c r="K1324" s="16" t="str">
        <f>IF(AND(H1324&gt;0,J1324&gt;0),(J1324-H1324)/H1324,"")</f>
        <v/>
      </c>
      <c r="L1324" s="13"/>
      <c r="M1324" s="16" t="str">
        <f>IF(AND(J1324&gt;0,L1324&gt;0),(L1324-J1324)/J1324,IF(AND(H1324&gt;0,L1324&gt;0),(L1324-H1324)/H1324,""))</f>
        <v/>
      </c>
      <c r="N1324" s="14">
        <v>45888</v>
      </c>
      <c r="O1324" s="13">
        <v>30</v>
      </c>
      <c r="P1324" s="16" t="str">
        <f>IF(AND(L1324&gt;0,O1324&gt;0),(O1324-L1324)/L1324,"")</f>
        <v/>
      </c>
      <c r="Q1324" s="18"/>
      <c r="R1324" s="18">
        <v>1</v>
      </c>
      <c r="S1324" s="10">
        <f>IF(N1324&gt;0,TODAY()-N1324,"")</f>
        <v>223</v>
      </c>
    </row>
    <row r="1325" ht="17" customHeight="1" spans="1:19" x14ac:dyDescent="0.25">
      <c r="A1325" s="3" t="s">
        <v>2610</v>
      </c>
      <c r="B1325" s="3" t="s">
        <v>2610</v>
      </c>
      <c r="C1325" s="3" t="s">
        <v>2661</v>
      </c>
      <c r="D1325" s="3" t="s">
        <v>2662</v>
      </c>
      <c r="E1325" s="4">
        <v>10</v>
      </c>
      <c r="F1325" s="5">
        <v>50</v>
      </c>
      <c r="G1325" s="6">
        <v>45888</v>
      </c>
      <c r="H1325" s="5">
        <v>50</v>
      </c>
      <c r="I1325" s="7" t="s">
        <v>24</v>
      </c>
      <c r="J1325" s="5"/>
      <c r="K1325" s="8" t="str">
        <f>IF(AND(H1325&gt;0,J1325&gt;0),(J1325-H1325)/H1325,"")</f>
        <v/>
      </c>
      <c r="L1325" s="5"/>
      <c r="M1325" s="8" t="str">
        <f>IF(AND(J1325&gt;0,L1325&gt;0),(L1325-J1325)/J1325,IF(AND(H1325&gt;0,L1325&gt;0),(L1325-H1325)/H1325,""))</f>
        <v/>
      </c>
      <c r="N1325" s="6">
        <v>45888</v>
      </c>
      <c r="O1325" s="5">
        <v>50</v>
      </c>
      <c r="P1325" s="8" t="str">
        <f>IF(AND(L1325&gt;0,O1325&gt;0),(O1325-L1325)/L1325,"")</f>
        <v/>
      </c>
      <c r="Q1325" s="9"/>
      <c r="R1325" s="9">
        <v>1</v>
      </c>
      <c r="S1325" s="10">
        <f>IF(N1325&gt;0,TODAY()-N1325,"")</f>
        <v>223</v>
      </c>
    </row>
    <row r="1326" ht="17" customHeight="1" spans="1:19" x14ac:dyDescent="0.25">
      <c r="A1326" s="11" t="s">
        <v>2610</v>
      </c>
      <c r="B1326" s="11" t="s">
        <v>2610</v>
      </c>
      <c r="C1326" s="11" t="s">
        <v>2663</v>
      </c>
      <c r="D1326" s="11" t="s">
        <v>2664</v>
      </c>
      <c r="E1326" s="12">
        <v>1</v>
      </c>
      <c r="F1326" s="13">
        <v>70555.95</v>
      </c>
      <c r="G1326" s="14">
        <v>45860</v>
      </c>
      <c r="H1326" s="13">
        <v>70555.95</v>
      </c>
      <c r="I1326" s="15" t="s">
        <v>24</v>
      </c>
      <c r="J1326" s="13"/>
      <c r="K1326" s="16" t="str">
        <f>IF(AND(H1326&gt;0,J1326&gt;0),(J1326-H1326)/H1326,"")</f>
        <v/>
      </c>
      <c r="L1326" s="13"/>
      <c r="M1326" s="16" t="str">
        <f>IF(AND(J1326&gt;0,L1326&gt;0),(L1326-J1326)/J1326,IF(AND(H1326&gt;0,L1326&gt;0),(L1326-H1326)/H1326,""))</f>
        <v/>
      </c>
      <c r="N1326" s="14">
        <v>45860</v>
      </c>
      <c r="O1326" s="13">
        <v>70555.95</v>
      </c>
      <c r="P1326" s="16" t="str">
        <f>IF(AND(L1326&gt;0,O1326&gt;0),(O1326-L1326)/L1326,"")</f>
        <v/>
      </c>
      <c r="Q1326" s="18"/>
      <c r="R1326" s="18">
        <v>1</v>
      </c>
      <c r="S1326" s="10">
        <f>IF(N1326&gt;0,TODAY()-N1326,"")</f>
        <v>251</v>
      </c>
    </row>
    <row r="1327" ht="17" customHeight="1" spans="1:19" x14ac:dyDescent="0.25">
      <c r="A1327" s="3" t="s">
        <v>2610</v>
      </c>
      <c r="B1327" s="3" t="s">
        <v>2610</v>
      </c>
      <c r="C1327" s="3" t="s">
        <v>2665</v>
      </c>
      <c r="D1327" s="3" t="s">
        <v>2666</v>
      </c>
      <c r="E1327" s="4">
        <v>4</v>
      </c>
      <c r="F1327" s="5">
        <v>157.4917</v>
      </c>
      <c r="G1327" s="6">
        <v>45898</v>
      </c>
      <c r="H1327" s="5">
        <v>157.49</v>
      </c>
      <c r="I1327" s="7" t="s">
        <v>24</v>
      </c>
      <c r="J1327" s="5"/>
      <c r="K1327" s="8" t="str">
        <f>IF(AND(H1327&gt;0,J1327&gt;0),(J1327-H1327)/H1327,"")</f>
        <v/>
      </c>
      <c r="L1327" s="5"/>
      <c r="M1327" s="8" t="str">
        <f>IF(AND(J1327&gt;0,L1327&gt;0),(L1327-J1327)/J1327,IF(AND(H1327&gt;0,L1327&gt;0),(L1327-H1327)/H1327,""))</f>
        <v/>
      </c>
      <c r="N1327" s="6">
        <v>45898</v>
      </c>
      <c r="O1327" s="5">
        <v>157.49</v>
      </c>
      <c r="P1327" s="8" t="str">
        <f>IF(AND(L1327&gt;0,O1327&gt;0),(O1327-L1327)/L1327,"")</f>
        <v/>
      </c>
      <c r="Q1327" s="9"/>
      <c r="R1327" s="9">
        <v>1</v>
      </c>
      <c r="S1327" s="10">
        <f>IF(N1327&gt;0,TODAY()-N1327,"")</f>
        <v>213</v>
      </c>
    </row>
    <row r="1328" ht="17" customHeight="1" spans="1:19" x14ac:dyDescent="0.25">
      <c r="A1328" s="11" t="s">
        <v>2610</v>
      </c>
      <c r="B1328" s="11" t="s">
        <v>2610</v>
      </c>
      <c r="C1328" s="11" t="s">
        <v>2667</v>
      </c>
      <c r="D1328" s="11" t="s">
        <v>2668</v>
      </c>
      <c r="E1328" s="12">
        <v>1</v>
      </c>
      <c r="F1328" s="13">
        <v>7836.12</v>
      </c>
      <c r="G1328" s="14">
        <v>45994</v>
      </c>
      <c r="H1328" s="13">
        <v>7836.12</v>
      </c>
      <c r="I1328" s="15" t="s">
        <v>54</v>
      </c>
      <c r="J1328" s="13">
        <v>7836.12</v>
      </c>
      <c r="K1328" s="17">
        <f>IF(AND(H1328&gt;0,J1328&gt;0),(J1328-H1328)/H1328,"")</f>
        <v>0</v>
      </c>
      <c r="L1328" s="13"/>
      <c r="M1328" s="16" t="str">
        <f>IF(AND(J1328&gt;0,L1328&gt;0),(L1328-J1328)/J1328,IF(AND(H1328&gt;0,L1328&gt;0),(L1328-H1328)/H1328,""))</f>
        <v/>
      </c>
      <c r="N1328" s="14">
        <v>45994</v>
      </c>
      <c r="O1328" s="13">
        <v>7836.12</v>
      </c>
      <c r="P1328" s="16" t="str">
        <f>IF(AND(L1328&gt;0,O1328&gt;0),(O1328-L1328)/L1328,"")</f>
        <v/>
      </c>
      <c r="Q1328" s="18"/>
      <c r="R1328" s="18">
        <v>1</v>
      </c>
      <c r="S1328" s="21">
        <f>IF(N1328&gt;0,TODAY()-N1328,"")</f>
        <v>117</v>
      </c>
    </row>
    <row r="1329" ht="17" customHeight="1" spans="1:19" x14ac:dyDescent="0.25">
      <c r="A1329" s="3" t="s">
        <v>2610</v>
      </c>
      <c r="B1329" s="3" t="s">
        <v>2610</v>
      </c>
      <c r="C1329" s="3" t="s">
        <v>2669</v>
      </c>
      <c r="D1329" s="3" t="s">
        <v>2670</v>
      </c>
      <c r="E1329" s="4">
        <v>3</v>
      </c>
      <c r="F1329" s="5">
        <v>54.166666670000005</v>
      </c>
      <c r="G1329" s="6">
        <v>45898</v>
      </c>
      <c r="H1329" s="5">
        <v>54.17</v>
      </c>
      <c r="I1329" s="7" t="s">
        <v>24</v>
      </c>
      <c r="J1329" s="5"/>
      <c r="K1329" s="8" t="str">
        <f>IF(AND(H1329&gt;0,J1329&gt;0),(J1329-H1329)/H1329,"")</f>
        <v/>
      </c>
      <c r="L1329" s="5"/>
      <c r="M1329" s="8" t="str">
        <f>IF(AND(J1329&gt;0,L1329&gt;0),(L1329-J1329)/J1329,IF(AND(H1329&gt;0,L1329&gt;0),(L1329-H1329)/H1329,""))</f>
        <v/>
      </c>
      <c r="N1329" s="6">
        <v>45898</v>
      </c>
      <c r="O1329" s="5">
        <v>54.17</v>
      </c>
      <c r="P1329" s="8" t="str">
        <f>IF(AND(L1329&gt;0,O1329&gt;0),(O1329-L1329)/L1329,"")</f>
        <v/>
      </c>
      <c r="Q1329" s="9"/>
      <c r="R1329" s="9">
        <v>1</v>
      </c>
      <c r="S1329" s="10">
        <f>IF(N1329&gt;0,TODAY()-N1329,"")</f>
        <v>213</v>
      </c>
    </row>
    <row r="1330" ht="17" customHeight="1" spans="1:19" x14ac:dyDescent="0.25">
      <c r="A1330" s="11" t="s">
        <v>2610</v>
      </c>
      <c r="B1330" s="11" t="s">
        <v>2610</v>
      </c>
      <c r="C1330" s="11" t="s">
        <v>2671</v>
      </c>
      <c r="D1330" s="11" t="s">
        <v>2672</v>
      </c>
      <c r="E1330" s="12">
        <v>3.965</v>
      </c>
      <c r="F1330" s="13">
        <v>1849.5157629255991</v>
      </c>
      <c r="G1330" s="14">
        <v>45882</v>
      </c>
      <c r="H1330" s="13">
        <v>1849.52</v>
      </c>
      <c r="I1330" s="15" t="s">
        <v>24</v>
      </c>
      <c r="J1330" s="13"/>
      <c r="K1330" s="16" t="str">
        <f>IF(AND(H1330&gt;0,J1330&gt;0),(J1330-H1330)/H1330,"")</f>
        <v/>
      </c>
      <c r="L1330" s="13"/>
      <c r="M1330" s="16" t="str">
        <f>IF(AND(J1330&gt;0,L1330&gt;0),(L1330-J1330)/J1330,IF(AND(H1330&gt;0,L1330&gt;0),(L1330-H1330)/H1330,""))</f>
        <v/>
      </c>
      <c r="N1330" s="14">
        <v>45882</v>
      </c>
      <c r="O1330" s="13">
        <v>1849.52</v>
      </c>
      <c r="P1330" s="16" t="str">
        <f>IF(AND(L1330&gt;0,O1330&gt;0),(O1330-L1330)/L1330,"")</f>
        <v/>
      </c>
      <c r="Q1330" s="18"/>
      <c r="R1330" s="18">
        <v>1</v>
      </c>
      <c r="S1330" s="10">
        <f>IF(N1330&gt;0,TODAY()-N1330,"")</f>
        <v>229</v>
      </c>
    </row>
    <row r="1331" ht="17" customHeight="1" spans="1:19" x14ac:dyDescent="0.25">
      <c r="A1331" s="3" t="s">
        <v>2610</v>
      </c>
      <c r="B1331" s="3" t="s">
        <v>2610</v>
      </c>
      <c r="C1331" s="3" t="s">
        <v>2673</v>
      </c>
      <c r="D1331" s="3" t="s">
        <v>2674</v>
      </c>
      <c r="E1331" s="4">
        <v>1</v>
      </c>
      <c r="F1331" s="5">
        <v>1352</v>
      </c>
      <c r="G1331" s="6">
        <v>45889</v>
      </c>
      <c r="H1331" s="5">
        <v>1352</v>
      </c>
      <c r="I1331" s="7" t="s">
        <v>24</v>
      </c>
      <c r="J1331" s="5"/>
      <c r="K1331" s="8" t="str">
        <f>IF(AND(H1331&gt;0,J1331&gt;0),(J1331-H1331)/H1331,"")</f>
        <v/>
      </c>
      <c r="L1331" s="5"/>
      <c r="M1331" s="8" t="str">
        <f>IF(AND(J1331&gt;0,L1331&gt;0),(L1331-J1331)/J1331,IF(AND(H1331&gt;0,L1331&gt;0),(L1331-H1331)/H1331,""))</f>
        <v/>
      </c>
      <c r="N1331" s="6">
        <v>45889</v>
      </c>
      <c r="O1331" s="5">
        <v>1352</v>
      </c>
      <c r="P1331" s="8" t="str">
        <f>IF(AND(L1331&gt;0,O1331&gt;0),(O1331-L1331)/L1331,"")</f>
        <v/>
      </c>
      <c r="Q1331" s="9"/>
      <c r="R1331" s="9">
        <v>1</v>
      </c>
      <c r="S1331" s="10">
        <f>IF(N1331&gt;0,TODAY()-N1331,"")</f>
        <v>222</v>
      </c>
    </row>
    <row r="1332" ht="17" customHeight="1" spans="1:19" x14ac:dyDescent="0.25">
      <c r="A1332" s="11" t="s">
        <v>2610</v>
      </c>
      <c r="B1332" s="11" t="s">
        <v>2610</v>
      </c>
      <c r="C1332" s="11" t="s">
        <v>2675</v>
      </c>
      <c r="D1332" s="11" t="s">
        <v>2676</v>
      </c>
      <c r="E1332" s="12">
        <v>1</v>
      </c>
      <c r="F1332" s="13">
        <v>1602.74</v>
      </c>
      <c r="G1332" s="14">
        <v>45735</v>
      </c>
      <c r="H1332" s="13">
        <v>1602.74</v>
      </c>
      <c r="I1332" s="15" t="s">
        <v>24</v>
      </c>
      <c r="J1332" s="13"/>
      <c r="K1332" s="16" t="str">
        <f>IF(AND(H1332&gt;0,J1332&gt;0),(J1332-H1332)/H1332,"")</f>
        <v/>
      </c>
      <c r="L1332" s="13"/>
      <c r="M1332" s="16" t="str">
        <f>IF(AND(J1332&gt;0,L1332&gt;0),(L1332-J1332)/J1332,IF(AND(H1332&gt;0,L1332&gt;0),(L1332-H1332)/H1332,""))</f>
        <v/>
      </c>
      <c r="N1332" s="14">
        <v>45735</v>
      </c>
      <c r="O1332" s="13">
        <v>1602.74</v>
      </c>
      <c r="P1332" s="16" t="str">
        <f>IF(AND(L1332&gt;0,O1332&gt;0),(O1332-L1332)/L1332,"")</f>
        <v/>
      </c>
      <c r="Q1332" s="18"/>
      <c r="R1332" s="18">
        <v>1</v>
      </c>
      <c r="S1332" s="10">
        <f>IF(N1332&gt;0,TODAY()-N1332,"")</f>
        <v>376</v>
      </c>
    </row>
    <row r="1333" ht="17" customHeight="1" spans="1:19" x14ac:dyDescent="0.25">
      <c r="A1333" s="3" t="s">
        <v>2610</v>
      </c>
      <c r="B1333" s="3" t="s">
        <v>2610</v>
      </c>
      <c r="C1333" s="3" t="s">
        <v>2677</v>
      </c>
      <c r="D1333" s="3" t="s">
        <v>2678</v>
      </c>
      <c r="E1333" s="4">
        <v>1</v>
      </c>
      <c r="F1333" s="5">
        <v>3734.6</v>
      </c>
      <c r="G1333" s="6">
        <v>45735</v>
      </c>
      <c r="H1333" s="5">
        <v>3734.6</v>
      </c>
      <c r="I1333" s="7" t="s">
        <v>24</v>
      </c>
      <c r="J1333" s="5"/>
      <c r="K1333" s="8" t="str">
        <f>IF(AND(H1333&gt;0,J1333&gt;0),(J1333-H1333)/H1333,"")</f>
        <v/>
      </c>
      <c r="L1333" s="5"/>
      <c r="M1333" s="8" t="str">
        <f>IF(AND(J1333&gt;0,L1333&gt;0),(L1333-J1333)/J1333,IF(AND(H1333&gt;0,L1333&gt;0),(L1333-H1333)/H1333,""))</f>
        <v/>
      </c>
      <c r="N1333" s="6">
        <v>45735</v>
      </c>
      <c r="O1333" s="5">
        <v>3734.6</v>
      </c>
      <c r="P1333" s="8" t="str">
        <f>IF(AND(L1333&gt;0,O1333&gt;0),(O1333-L1333)/L1333,"")</f>
        <v/>
      </c>
      <c r="Q1333" s="9"/>
      <c r="R1333" s="9">
        <v>1</v>
      </c>
      <c r="S1333" s="10">
        <f>IF(N1333&gt;0,TODAY()-N1333,"")</f>
        <v>376</v>
      </c>
    </row>
    <row r="1334" ht="17" customHeight="1" spans="1:19" x14ac:dyDescent="0.25">
      <c r="A1334" s="11" t="s">
        <v>2610</v>
      </c>
      <c r="B1334" s="11" t="s">
        <v>2610</v>
      </c>
      <c r="C1334" s="11" t="s">
        <v>2679</v>
      </c>
      <c r="D1334" s="11" t="s">
        <v>1123</v>
      </c>
      <c r="E1334" s="12">
        <v>1</v>
      </c>
      <c r="F1334" s="13">
        <v>7779.2</v>
      </c>
      <c r="G1334" s="14">
        <v>45785</v>
      </c>
      <c r="H1334" s="13">
        <v>7779.2</v>
      </c>
      <c r="I1334" s="15" t="s">
        <v>24</v>
      </c>
      <c r="J1334" s="13"/>
      <c r="K1334" s="16" t="str">
        <f>IF(AND(H1334&gt;0,J1334&gt;0),(J1334-H1334)/H1334,"")</f>
        <v/>
      </c>
      <c r="L1334" s="13"/>
      <c r="M1334" s="16" t="str">
        <f>IF(AND(J1334&gt;0,L1334&gt;0),(L1334-J1334)/J1334,IF(AND(H1334&gt;0,L1334&gt;0),(L1334-H1334)/H1334,""))</f>
        <v/>
      </c>
      <c r="N1334" s="14">
        <v>45785</v>
      </c>
      <c r="O1334" s="13">
        <v>7779.2</v>
      </c>
      <c r="P1334" s="16" t="str">
        <f>IF(AND(L1334&gt;0,O1334&gt;0),(O1334-L1334)/L1334,"")</f>
        <v/>
      </c>
      <c r="Q1334" s="18"/>
      <c r="R1334" s="18">
        <v>1</v>
      </c>
      <c r="S1334" s="10">
        <f>IF(N1334&gt;0,TODAY()-N1334,"")</f>
        <v>326</v>
      </c>
    </row>
    <row r="1335" ht="17" customHeight="1" spans="1:19" x14ac:dyDescent="0.25">
      <c r="A1335" s="3" t="s">
        <v>2610</v>
      </c>
      <c r="B1335" s="3" t="s">
        <v>2610</v>
      </c>
      <c r="C1335" s="3" t="s">
        <v>2680</v>
      </c>
      <c r="D1335" s="3" t="s">
        <v>353</v>
      </c>
      <c r="E1335" s="4">
        <v>1</v>
      </c>
      <c r="F1335" s="5">
        <v>3990.34</v>
      </c>
      <c r="G1335" s="6">
        <v>45768</v>
      </c>
      <c r="H1335" s="5">
        <v>3990.34</v>
      </c>
      <c r="I1335" s="7" t="s">
        <v>24</v>
      </c>
      <c r="J1335" s="5"/>
      <c r="K1335" s="8" t="str">
        <f>IF(AND(H1335&gt;0,J1335&gt;0),(J1335-H1335)/H1335,"")</f>
        <v/>
      </c>
      <c r="L1335" s="5"/>
      <c r="M1335" s="8" t="str">
        <f>IF(AND(J1335&gt;0,L1335&gt;0),(L1335-J1335)/J1335,IF(AND(H1335&gt;0,L1335&gt;0),(L1335-H1335)/H1335,""))</f>
        <v/>
      </c>
      <c r="N1335" s="6">
        <v>45768</v>
      </c>
      <c r="O1335" s="5">
        <v>3990.34</v>
      </c>
      <c r="P1335" s="8" t="str">
        <f>IF(AND(L1335&gt;0,O1335&gt;0),(O1335-L1335)/L1335,"")</f>
        <v/>
      </c>
      <c r="Q1335" s="9"/>
      <c r="R1335" s="9">
        <v>1</v>
      </c>
      <c r="S1335" s="10">
        <f>IF(N1335&gt;0,TODAY()-N1335,"")</f>
        <v>343</v>
      </c>
    </row>
    <row r="1336" ht="17" customHeight="1" spans="1:19" x14ac:dyDescent="0.25">
      <c r="A1336" s="11" t="s">
        <v>2610</v>
      </c>
      <c r="B1336" s="11" t="s">
        <v>2610</v>
      </c>
      <c r="C1336" s="11" t="s">
        <v>2681</v>
      </c>
      <c r="D1336" s="11" t="s">
        <v>2682</v>
      </c>
      <c r="E1336" s="12">
        <v>1</v>
      </c>
      <c r="F1336" s="13">
        <v>10182.26</v>
      </c>
      <c r="G1336" s="14">
        <v>45716</v>
      </c>
      <c r="H1336" s="13">
        <v>10182.26</v>
      </c>
      <c r="I1336" s="15" t="s">
        <v>24</v>
      </c>
      <c r="J1336" s="13"/>
      <c r="K1336" s="16" t="str">
        <f>IF(AND(H1336&gt;0,J1336&gt;0),(J1336-H1336)/H1336,"")</f>
        <v/>
      </c>
      <c r="L1336" s="13"/>
      <c r="M1336" s="16" t="str">
        <f>IF(AND(J1336&gt;0,L1336&gt;0),(L1336-J1336)/J1336,IF(AND(H1336&gt;0,L1336&gt;0),(L1336-H1336)/H1336,""))</f>
        <v/>
      </c>
      <c r="N1336" s="14">
        <v>45716</v>
      </c>
      <c r="O1336" s="13">
        <v>10182.26</v>
      </c>
      <c r="P1336" s="16" t="str">
        <f>IF(AND(L1336&gt;0,O1336&gt;0),(O1336-L1336)/L1336,"")</f>
        <v/>
      </c>
      <c r="Q1336" s="18"/>
      <c r="R1336" s="18">
        <v>1</v>
      </c>
      <c r="S1336" s="10">
        <f>IF(N1336&gt;0,TODAY()-N1336,"")</f>
        <v>395</v>
      </c>
    </row>
    <row r="1337" ht="17" customHeight="1" spans="1:19" x14ac:dyDescent="0.25">
      <c r="A1337" s="3" t="s">
        <v>2610</v>
      </c>
      <c r="B1337" s="3" t="s">
        <v>2610</v>
      </c>
      <c r="C1337" s="3" t="s">
        <v>2683</v>
      </c>
      <c r="D1337" s="3" t="s">
        <v>2684</v>
      </c>
      <c r="E1337" s="4">
        <v>2</v>
      </c>
      <c r="F1337" s="5">
        <v>1753.835</v>
      </c>
      <c r="G1337" s="6">
        <v>45856</v>
      </c>
      <c r="H1337" s="5">
        <v>1753.84</v>
      </c>
      <c r="I1337" s="7" t="s">
        <v>24</v>
      </c>
      <c r="J1337" s="5"/>
      <c r="K1337" s="8" t="str">
        <f>IF(AND(H1337&gt;0,J1337&gt;0),(J1337-H1337)/H1337,"")</f>
        <v/>
      </c>
      <c r="L1337" s="5"/>
      <c r="M1337" s="8" t="str">
        <f>IF(AND(J1337&gt;0,L1337&gt;0),(L1337-J1337)/J1337,IF(AND(H1337&gt;0,L1337&gt;0),(L1337-H1337)/H1337,""))</f>
        <v/>
      </c>
      <c r="N1337" s="6">
        <v>45856</v>
      </c>
      <c r="O1337" s="5">
        <v>1753.84</v>
      </c>
      <c r="P1337" s="8" t="str">
        <f>IF(AND(L1337&gt;0,O1337&gt;0),(O1337-L1337)/L1337,"")</f>
        <v/>
      </c>
      <c r="Q1337" s="9"/>
      <c r="R1337" s="9">
        <v>1</v>
      </c>
      <c r="S1337" s="10">
        <f>IF(N1337&gt;0,TODAY()-N1337,"")</f>
        <v>255</v>
      </c>
    </row>
    <row r="1338" ht="17" customHeight="1" spans="1:19" x14ac:dyDescent="0.25">
      <c r="A1338" s="11" t="s">
        <v>2610</v>
      </c>
      <c r="B1338" s="11" t="s">
        <v>2610</v>
      </c>
      <c r="C1338" s="11" t="s">
        <v>2685</v>
      </c>
      <c r="D1338" s="11" t="s">
        <v>2686</v>
      </c>
      <c r="E1338" s="12">
        <v>1</v>
      </c>
      <c r="F1338" s="13">
        <v>9330.18</v>
      </c>
      <c r="G1338" s="14">
        <v>45869</v>
      </c>
      <c r="H1338" s="13">
        <v>9330.18</v>
      </c>
      <c r="I1338" s="15" t="s">
        <v>24</v>
      </c>
      <c r="J1338" s="13"/>
      <c r="K1338" s="16" t="str">
        <f>IF(AND(H1338&gt;0,J1338&gt;0),(J1338-H1338)/H1338,"")</f>
        <v/>
      </c>
      <c r="L1338" s="13"/>
      <c r="M1338" s="16" t="str">
        <f>IF(AND(J1338&gt;0,L1338&gt;0),(L1338-J1338)/J1338,IF(AND(H1338&gt;0,L1338&gt;0),(L1338-H1338)/H1338,""))</f>
        <v/>
      </c>
      <c r="N1338" s="14">
        <v>45869</v>
      </c>
      <c r="O1338" s="13">
        <v>9330.18</v>
      </c>
      <c r="P1338" s="16" t="str">
        <f>IF(AND(L1338&gt;0,O1338&gt;0),(O1338-L1338)/L1338,"")</f>
        <v/>
      </c>
      <c r="Q1338" s="18"/>
      <c r="R1338" s="18">
        <v>1</v>
      </c>
      <c r="S1338" s="10">
        <f>IF(N1338&gt;0,TODAY()-N1338,"")</f>
        <v>242</v>
      </c>
    </row>
    <row r="1339" ht="17" customHeight="1" spans="1:19" x14ac:dyDescent="0.25">
      <c r="A1339" s="3" t="s">
        <v>2610</v>
      </c>
      <c r="B1339" s="3" t="s">
        <v>2610</v>
      </c>
      <c r="C1339" s="3" t="s">
        <v>2687</v>
      </c>
      <c r="D1339" s="3" t="s">
        <v>2688</v>
      </c>
      <c r="E1339" s="4">
        <v>2</v>
      </c>
      <c r="F1339" s="5">
        <v>18291.735</v>
      </c>
      <c r="G1339" s="6">
        <v>45869</v>
      </c>
      <c r="H1339" s="5">
        <v>18254.7</v>
      </c>
      <c r="I1339" s="7" t="s">
        <v>24</v>
      </c>
      <c r="J1339" s="5"/>
      <c r="K1339" s="8" t="str">
        <f>IF(AND(H1339&gt;0,J1339&gt;0),(J1339-H1339)/H1339,"")</f>
        <v/>
      </c>
      <c r="L1339" s="5"/>
      <c r="M1339" s="8" t="str">
        <f>IF(AND(J1339&gt;0,L1339&gt;0),(L1339-J1339)/J1339,IF(AND(H1339&gt;0,L1339&gt;0),(L1339-H1339)/H1339,""))</f>
        <v/>
      </c>
      <c r="N1339" s="6">
        <v>45883</v>
      </c>
      <c r="O1339" s="5">
        <v>18328.77</v>
      </c>
      <c r="P1339" s="8" t="str">
        <f>IF(AND(L1339&gt;0,O1339&gt;0),(O1339-L1339)/L1339,"")</f>
        <v/>
      </c>
      <c r="Q1339" s="9">
        <v>14</v>
      </c>
      <c r="R1339" s="9">
        <v>2</v>
      </c>
      <c r="S1339" s="10">
        <f>IF(N1339&gt;0,TODAY()-N1339,"")</f>
        <v>228</v>
      </c>
    </row>
    <row r="1340" ht="17" customHeight="1" spans="1:19" x14ac:dyDescent="0.25">
      <c r="A1340" s="11" t="s">
        <v>2610</v>
      </c>
      <c r="B1340" s="11" t="s">
        <v>2610</v>
      </c>
      <c r="C1340" s="11" t="s">
        <v>2689</v>
      </c>
      <c r="D1340" s="11" t="s">
        <v>2690</v>
      </c>
      <c r="E1340" s="12">
        <v>1</v>
      </c>
      <c r="F1340" s="13">
        <v>266.7</v>
      </c>
      <c r="G1340" s="14">
        <v>45785</v>
      </c>
      <c r="H1340" s="13">
        <v>266.7</v>
      </c>
      <c r="I1340" s="15" t="s">
        <v>24</v>
      </c>
      <c r="J1340" s="13"/>
      <c r="K1340" s="16" t="str">
        <f>IF(AND(H1340&gt;0,J1340&gt;0),(J1340-H1340)/H1340,"")</f>
        <v/>
      </c>
      <c r="L1340" s="13"/>
      <c r="M1340" s="16" t="str">
        <f>IF(AND(J1340&gt;0,L1340&gt;0),(L1340-J1340)/J1340,IF(AND(H1340&gt;0,L1340&gt;0),(L1340-H1340)/H1340,""))</f>
        <v/>
      </c>
      <c r="N1340" s="14">
        <v>45785</v>
      </c>
      <c r="O1340" s="13">
        <v>266.7</v>
      </c>
      <c r="P1340" s="16" t="str">
        <f>IF(AND(L1340&gt;0,O1340&gt;0),(O1340-L1340)/L1340,"")</f>
        <v/>
      </c>
      <c r="Q1340" s="18"/>
      <c r="R1340" s="18">
        <v>1</v>
      </c>
      <c r="S1340" s="10">
        <f>IF(N1340&gt;0,TODAY()-N1340,"")</f>
        <v>326</v>
      </c>
    </row>
    <row r="1341" ht="17" customHeight="1" spans="1:19" x14ac:dyDescent="0.25">
      <c r="A1341" s="3" t="s">
        <v>2610</v>
      </c>
      <c r="B1341" s="3" t="s">
        <v>2610</v>
      </c>
      <c r="C1341" s="3" t="s">
        <v>2691</v>
      </c>
      <c r="D1341" s="3" t="s">
        <v>2692</v>
      </c>
      <c r="E1341" s="4">
        <v>1</v>
      </c>
      <c r="F1341" s="5">
        <v>44166.67</v>
      </c>
      <c r="G1341" s="6">
        <v>45950</v>
      </c>
      <c r="H1341" s="5">
        <v>44166.67</v>
      </c>
      <c r="I1341" s="7" t="s">
        <v>57</v>
      </c>
      <c r="J1341" s="5">
        <v>44166.67</v>
      </c>
      <c r="K1341" s="24">
        <f>IF(AND(H1341&gt;0,J1341&gt;0),(J1341-H1341)/H1341,"")</f>
        <v>0</v>
      </c>
      <c r="L1341" s="5"/>
      <c r="M1341" s="8" t="str">
        <f>IF(AND(J1341&gt;0,L1341&gt;0),(L1341-J1341)/J1341,IF(AND(H1341&gt;0,L1341&gt;0),(L1341-H1341)/H1341,""))</f>
        <v/>
      </c>
      <c r="N1341" s="6">
        <v>45950</v>
      </c>
      <c r="O1341" s="5">
        <v>44166.67</v>
      </c>
      <c r="P1341" s="8" t="str">
        <f>IF(AND(L1341&gt;0,O1341&gt;0),(O1341-L1341)/L1341,"")</f>
        <v/>
      </c>
      <c r="Q1341" s="9"/>
      <c r="R1341" s="9">
        <v>1</v>
      </c>
      <c r="S1341" s="21">
        <f>IF(N1341&gt;0,TODAY()-N1341,"")</f>
        <v>161</v>
      </c>
    </row>
    <row r="1342" ht="17" customHeight="1" spans="1:19" x14ac:dyDescent="0.25">
      <c r="A1342" s="11" t="s">
        <v>2610</v>
      </c>
      <c r="B1342" s="11" t="s">
        <v>2610</v>
      </c>
      <c r="C1342" s="11" t="s">
        <v>2693</v>
      </c>
      <c r="D1342" s="11" t="s">
        <v>2694</v>
      </c>
      <c r="E1342" s="12">
        <v>4</v>
      </c>
      <c r="F1342" s="13">
        <v>275</v>
      </c>
      <c r="G1342" s="14">
        <v>45952</v>
      </c>
      <c r="H1342" s="13">
        <v>275</v>
      </c>
      <c r="I1342" s="15" t="s">
        <v>57</v>
      </c>
      <c r="J1342" s="13">
        <v>275</v>
      </c>
      <c r="K1342" s="17">
        <f>IF(AND(H1342&gt;0,J1342&gt;0),(J1342-H1342)/H1342,"")</f>
        <v>0</v>
      </c>
      <c r="L1342" s="13"/>
      <c r="M1342" s="16" t="str">
        <f>IF(AND(J1342&gt;0,L1342&gt;0),(L1342-J1342)/J1342,IF(AND(H1342&gt;0,L1342&gt;0),(L1342-H1342)/H1342,""))</f>
        <v/>
      </c>
      <c r="N1342" s="14">
        <v>45952</v>
      </c>
      <c r="O1342" s="13">
        <v>275</v>
      </c>
      <c r="P1342" s="16" t="str">
        <f>IF(AND(L1342&gt;0,O1342&gt;0),(O1342-L1342)/L1342,"")</f>
        <v/>
      </c>
      <c r="Q1342" s="18"/>
      <c r="R1342" s="18">
        <v>1</v>
      </c>
      <c r="S1342" s="21">
        <f>IF(N1342&gt;0,TODAY()-N1342,"")</f>
        <v>159</v>
      </c>
    </row>
    <row r="1343" ht="17" customHeight="1" spans="1:19" x14ac:dyDescent="0.25">
      <c r="A1343" s="3" t="s">
        <v>2610</v>
      </c>
      <c r="B1343" s="3" t="s">
        <v>2610</v>
      </c>
      <c r="C1343" s="3" t="s">
        <v>2695</v>
      </c>
      <c r="D1343" s="3" t="s">
        <v>2696</v>
      </c>
      <c r="E1343" s="4">
        <v>1</v>
      </c>
      <c r="F1343" s="5">
        <v>2900</v>
      </c>
      <c r="G1343" s="6">
        <v>45840</v>
      </c>
      <c r="H1343" s="5">
        <v>2900</v>
      </c>
      <c r="I1343" s="7" t="s">
        <v>24</v>
      </c>
      <c r="J1343" s="5"/>
      <c r="K1343" s="8" t="str">
        <f>IF(AND(H1343&gt;0,J1343&gt;0),(J1343-H1343)/H1343,"")</f>
        <v/>
      </c>
      <c r="L1343" s="5"/>
      <c r="M1343" s="8" t="str">
        <f>IF(AND(J1343&gt;0,L1343&gt;0),(L1343-J1343)/J1343,IF(AND(H1343&gt;0,L1343&gt;0),(L1343-H1343)/H1343,""))</f>
        <v/>
      </c>
      <c r="N1343" s="6">
        <v>45840</v>
      </c>
      <c r="O1343" s="5">
        <v>2900</v>
      </c>
      <c r="P1343" s="8" t="str">
        <f>IF(AND(L1343&gt;0,O1343&gt;0),(O1343-L1343)/L1343,"")</f>
        <v/>
      </c>
      <c r="Q1343" s="9"/>
      <c r="R1343" s="9">
        <v>1</v>
      </c>
      <c r="S1343" s="10">
        <f>IF(N1343&gt;0,TODAY()-N1343,"")</f>
        <v>271</v>
      </c>
    </row>
    <row r="1344" ht="17" customHeight="1" spans="1:19" x14ac:dyDescent="0.25">
      <c r="A1344" s="11" t="s">
        <v>2610</v>
      </c>
      <c r="B1344" s="11" t="s">
        <v>2610</v>
      </c>
      <c r="C1344" s="11" t="s">
        <v>2697</v>
      </c>
      <c r="D1344" s="11" t="s">
        <v>2698</v>
      </c>
      <c r="E1344" s="12">
        <v>0.2</v>
      </c>
      <c r="F1344" s="13">
        <v>1055.9999999999998</v>
      </c>
      <c r="G1344" s="14">
        <v>45779</v>
      </c>
      <c r="H1344" s="13">
        <v>1056</v>
      </c>
      <c r="I1344" s="15" t="s">
        <v>24</v>
      </c>
      <c r="J1344" s="13"/>
      <c r="K1344" s="16" t="str">
        <f>IF(AND(H1344&gt;0,J1344&gt;0),(J1344-H1344)/H1344,"")</f>
        <v/>
      </c>
      <c r="L1344" s="13"/>
      <c r="M1344" s="16" t="str">
        <f>IF(AND(J1344&gt;0,L1344&gt;0),(L1344-J1344)/J1344,IF(AND(H1344&gt;0,L1344&gt;0),(L1344-H1344)/H1344,""))</f>
        <v/>
      </c>
      <c r="N1344" s="14">
        <v>45779</v>
      </c>
      <c r="O1344" s="13">
        <v>1056</v>
      </c>
      <c r="P1344" s="16" t="str">
        <f>IF(AND(L1344&gt;0,O1344&gt;0),(O1344-L1344)/L1344,"")</f>
        <v/>
      </c>
      <c r="Q1344" s="18"/>
      <c r="R1344" s="18">
        <v>1</v>
      </c>
      <c r="S1344" s="10">
        <f>IF(N1344&gt;0,TODAY()-N1344,"")</f>
        <v>332</v>
      </c>
    </row>
    <row r="1345" ht="17" customHeight="1" spans="1:19" x14ac:dyDescent="0.25">
      <c r="A1345" s="3" t="s">
        <v>2610</v>
      </c>
      <c r="B1345" s="3" t="s">
        <v>2610</v>
      </c>
      <c r="C1345" s="3" t="s">
        <v>2699</v>
      </c>
      <c r="D1345" s="3" t="s">
        <v>1274</v>
      </c>
      <c r="E1345" s="4">
        <v>1</v>
      </c>
      <c r="F1345" s="5">
        <v>14275</v>
      </c>
      <c r="G1345" s="6">
        <v>45664</v>
      </c>
      <c r="H1345" s="5">
        <v>14275</v>
      </c>
      <c r="I1345" s="7" t="s">
        <v>24</v>
      </c>
      <c r="J1345" s="5"/>
      <c r="K1345" s="8" t="str">
        <f>IF(AND(H1345&gt;0,J1345&gt;0),(J1345-H1345)/H1345,"")</f>
        <v/>
      </c>
      <c r="L1345" s="5"/>
      <c r="M1345" s="8" t="str">
        <f>IF(AND(J1345&gt;0,L1345&gt;0),(L1345-J1345)/J1345,IF(AND(H1345&gt;0,L1345&gt;0),(L1345-H1345)/H1345,""))</f>
        <v/>
      </c>
      <c r="N1345" s="6">
        <v>45664</v>
      </c>
      <c r="O1345" s="5">
        <v>14275</v>
      </c>
      <c r="P1345" s="8" t="str">
        <f>IF(AND(L1345&gt;0,O1345&gt;0),(O1345-L1345)/L1345,"")</f>
        <v/>
      </c>
      <c r="Q1345" s="9"/>
      <c r="R1345" s="9">
        <v>1</v>
      </c>
      <c r="S1345" s="10">
        <f>IF(N1345&gt;0,TODAY()-N1345,"")</f>
        <v>447</v>
      </c>
    </row>
    <row r="1346" ht="17" customHeight="1" spans="1:19" x14ac:dyDescent="0.25">
      <c r="A1346" s="11" t="s">
        <v>2610</v>
      </c>
      <c r="B1346" s="11" t="s">
        <v>2610</v>
      </c>
      <c r="C1346" s="11" t="s">
        <v>2700</v>
      </c>
      <c r="D1346" s="11" t="s">
        <v>2701</v>
      </c>
      <c r="E1346" s="12">
        <v>4</v>
      </c>
      <c r="F1346" s="13">
        <v>33.3325</v>
      </c>
      <c r="G1346" s="14">
        <v>45985</v>
      </c>
      <c r="H1346" s="13">
        <v>33.33</v>
      </c>
      <c r="I1346" s="15" t="s">
        <v>60</v>
      </c>
      <c r="J1346" s="13">
        <v>33.33</v>
      </c>
      <c r="K1346" s="17">
        <f>IF(AND(H1346&gt;0,J1346&gt;0),(J1346-H1346)/H1346,"")</f>
        <v>0</v>
      </c>
      <c r="L1346" s="13"/>
      <c r="M1346" s="16" t="str">
        <f>IF(AND(J1346&gt;0,L1346&gt;0),(L1346-J1346)/J1346,IF(AND(H1346&gt;0,L1346&gt;0),(L1346-H1346)/H1346,""))</f>
        <v/>
      </c>
      <c r="N1346" s="14">
        <v>45985</v>
      </c>
      <c r="O1346" s="13">
        <v>33.33</v>
      </c>
      <c r="P1346" s="16" t="str">
        <f>IF(AND(L1346&gt;0,O1346&gt;0),(O1346-L1346)/L1346,"")</f>
        <v/>
      </c>
      <c r="Q1346" s="18"/>
      <c r="R1346" s="18">
        <v>1</v>
      </c>
      <c r="S1346" s="21">
        <f>IF(N1346&gt;0,TODAY()-N1346,"")</f>
        <v>126</v>
      </c>
    </row>
    <row r="1347" ht="17" customHeight="1" spans="1:19" x14ac:dyDescent="0.25">
      <c r="A1347" s="3" t="s">
        <v>2610</v>
      </c>
      <c r="B1347" s="3" t="s">
        <v>2610</v>
      </c>
      <c r="C1347" s="3" t="s">
        <v>2702</v>
      </c>
      <c r="D1347" s="3" t="s">
        <v>2703</v>
      </c>
      <c r="E1347" s="4">
        <v>1</v>
      </c>
      <c r="F1347" s="5">
        <v>5025.61</v>
      </c>
      <c r="G1347" s="6">
        <v>45671</v>
      </c>
      <c r="H1347" s="5">
        <v>5025.61</v>
      </c>
      <c r="I1347" s="7" t="s">
        <v>24</v>
      </c>
      <c r="J1347" s="5"/>
      <c r="K1347" s="8" t="str">
        <f>IF(AND(H1347&gt;0,J1347&gt;0),(J1347-H1347)/H1347,"")</f>
        <v/>
      </c>
      <c r="L1347" s="5"/>
      <c r="M1347" s="8" t="str">
        <f>IF(AND(J1347&gt;0,L1347&gt;0),(L1347-J1347)/J1347,IF(AND(H1347&gt;0,L1347&gt;0),(L1347-H1347)/H1347,""))</f>
        <v/>
      </c>
      <c r="N1347" s="6">
        <v>45671</v>
      </c>
      <c r="O1347" s="5">
        <v>5025.61</v>
      </c>
      <c r="P1347" s="8" t="str">
        <f>IF(AND(L1347&gt;0,O1347&gt;0),(O1347-L1347)/L1347,"")</f>
        <v/>
      </c>
      <c r="Q1347" s="9"/>
      <c r="R1347" s="9">
        <v>1</v>
      </c>
      <c r="S1347" s="10">
        <f>IF(N1347&gt;0,TODAY()-N1347,"")</f>
        <v>440</v>
      </c>
    </row>
    <row r="1348" ht="17" customHeight="1" spans="1:19" x14ac:dyDescent="0.25">
      <c r="A1348" s="11" t="s">
        <v>2610</v>
      </c>
      <c r="B1348" s="11" t="s">
        <v>2610</v>
      </c>
      <c r="C1348" s="11" t="s">
        <v>2704</v>
      </c>
      <c r="D1348" s="11" t="s">
        <v>2705</v>
      </c>
      <c r="E1348" s="12">
        <v>1</v>
      </c>
      <c r="F1348" s="13">
        <v>734.05</v>
      </c>
      <c r="G1348" s="14">
        <v>45944</v>
      </c>
      <c r="H1348" s="13">
        <v>734.05</v>
      </c>
      <c r="I1348" s="15" t="s">
        <v>57</v>
      </c>
      <c r="J1348" s="13">
        <v>734.05</v>
      </c>
      <c r="K1348" s="17">
        <f>IF(AND(H1348&gt;0,J1348&gt;0),(J1348-H1348)/H1348,"")</f>
        <v>0</v>
      </c>
      <c r="L1348" s="13"/>
      <c r="M1348" s="16" t="str">
        <f>IF(AND(J1348&gt;0,L1348&gt;0),(L1348-J1348)/J1348,IF(AND(H1348&gt;0,L1348&gt;0),(L1348-H1348)/H1348,""))</f>
        <v/>
      </c>
      <c r="N1348" s="14">
        <v>45944</v>
      </c>
      <c r="O1348" s="13">
        <v>734.05</v>
      </c>
      <c r="P1348" s="16" t="str">
        <f>IF(AND(L1348&gt;0,O1348&gt;0),(O1348-L1348)/L1348,"")</f>
        <v/>
      </c>
      <c r="Q1348" s="18"/>
      <c r="R1348" s="18">
        <v>1</v>
      </c>
      <c r="S1348" s="21">
        <f>IF(N1348&gt;0,TODAY()-N1348,"")</f>
        <v>167</v>
      </c>
    </row>
    <row r="1349" ht="22" customHeight="1" spans="1:19" x14ac:dyDescent="0.25">
      <c r="A1349" s="30" t="s">
        <v>2706</v>
      </c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</row>
    <row r="1350" ht="17" customHeight="1" spans="1:19" x14ac:dyDescent="0.25">
      <c r="A1350" s="11" t="s">
        <v>2707</v>
      </c>
      <c r="B1350" s="11" t="s">
        <v>2707</v>
      </c>
      <c r="C1350" s="11" t="s">
        <v>2708</v>
      </c>
      <c r="D1350" s="11" t="s">
        <v>2709</v>
      </c>
      <c r="E1350" s="12">
        <v>1255</v>
      </c>
      <c r="F1350" s="13">
        <v>2.749003984063745</v>
      </c>
      <c r="G1350" s="14">
        <v>45692</v>
      </c>
      <c r="H1350" s="13">
        <v>7.84</v>
      </c>
      <c r="I1350" s="15" t="s">
        <v>24</v>
      </c>
      <c r="J1350" s="13"/>
      <c r="K1350" s="16" t="str">
        <f>IF(AND(H1350&gt;0,J1350&gt;0),(J1350-H1350)/H1350,"")</f>
        <v/>
      </c>
      <c r="L1350" s="13"/>
      <c r="M1350" s="16" t="str">
        <f>IF(AND(J1350&gt;0,L1350&gt;0),(L1350-J1350)/J1350,IF(AND(H1350&gt;0,L1350&gt;0),(L1350-H1350)/H1350,""))</f>
        <v/>
      </c>
      <c r="N1350" s="14">
        <v>45841</v>
      </c>
      <c r="O1350" s="13">
        <v>1.45</v>
      </c>
      <c r="P1350" s="16" t="str">
        <f>IF(AND(L1350&gt;0,O1350&gt;0),(O1350-L1350)/L1350,"")</f>
        <v/>
      </c>
      <c r="Q1350" s="18">
        <v>149</v>
      </c>
      <c r="R1350" s="18">
        <v>2</v>
      </c>
      <c r="S1350" s="10">
        <f>IF(N1350&gt;0,TODAY()-N1350,"")</f>
        <v>270</v>
      </c>
    </row>
    <row r="1351" ht="22" customHeight="1" spans="1:19" x14ac:dyDescent="0.25">
      <c r="A1351" s="31" t="s">
        <v>2710</v>
      </c>
      <c r="B1351" s="31"/>
      <c r="C1351" s="31"/>
      <c r="D1351" s="31"/>
      <c r="E1351" s="31"/>
      <c r="F1351" s="31"/>
      <c r="G1351" s="31"/>
      <c r="H1351" s="31"/>
      <c r="I1351" s="31"/>
      <c r="J1351" s="31"/>
      <c r="K1351" s="31"/>
      <c r="L1351" s="31"/>
      <c r="M1351" s="31"/>
      <c r="N1351" s="31"/>
      <c r="O1351" s="31"/>
      <c r="P1351" s="31"/>
      <c r="Q1351" s="31"/>
      <c r="R1351" s="31"/>
      <c r="S1351" s="31"/>
    </row>
    <row r="1352" ht="17" customHeight="1" spans="1:19" x14ac:dyDescent="0.25">
      <c r="A1352" s="11" t="s">
        <v>2711</v>
      </c>
      <c r="B1352" s="11" t="s">
        <v>2711</v>
      </c>
      <c r="C1352" s="11" t="s">
        <v>2712</v>
      </c>
      <c r="D1352" s="11" t="s">
        <v>2713</v>
      </c>
      <c r="E1352" s="12">
        <v>15.86</v>
      </c>
      <c r="F1352" s="13">
        <v>306.8518284993695</v>
      </c>
      <c r="G1352" s="14">
        <v>45996</v>
      </c>
      <c r="H1352" s="13">
        <v>306.85</v>
      </c>
      <c r="I1352" s="15" t="s">
        <v>54</v>
      </c>
      <c r="J1352" s="13">
        <v>306.85</v>
      </c>
      <c r="K1352" s="17">
        <f>IF(AND(H1352&gt;0,J1352&gt;0),(J1352-H1352)/H1352,"")</f>
        <v>0</v>
      </c>
      <c r="L1352" s="13"/>
      <c r="M1352" s="16" t="str">
        <f>IF(AND(J1352&gt;0,L1352&gt;0),(L1352-J1352)/J1352,IF(AND(H1352&gt;0,L1352&gt;0),(L1352-H1352)/H1352,""))</f>
        <v/>
      </c>
      <c r="N1352" s="14">
        <v>45996</v>
      </c>
      <c r="O1352" s="13">
        <v>306.85</v>
      </c>
      <c r="P1352" s="16" t="str">
        <f>IF(AND(L1352&gt;0,O1352&gt;0),(O1352-L1352)/L1352,"")</f>
        <v/>
      </c>
      <c r="Q1352" s="18"/>
      <c r="R1352" s="18">
        <v>1</v>
      </c>
      <c r="S1352" s="21">
        <f>IF(N1352&gt;0,TODAY()-N1352,"")</f>
        <v>115</v>
      </c>
    </row>
    <row r="1353" ht="17" customHeight="1" spans="1:19" x14ac:dyDescent="0.25">
      <c r="A1353" s="3" t="s">
        <v>2711</v>
      </c>
      <c r="B1353" s="3" t="s">
        <v>2711</v>
      </c>
      <c r="C1353" s="3" t="s">
        <v>2714</v>
      </c>
      <c r="D1353" s="3" t="s">
        <v>2715</v>
      </c>
      <c r="E1353" s="4">
        <v>26</v>
      </c>
      <c r="F1353" s="5">
        <v>191.19</v>
      </c>
      <c r="G1353" s="6">
        <v>46000</v>
      </c>
      <c r="H1353" s="5">
        <v>191.19</v>
      </c>
      <c r="I1353" s="7" t="s">
        <v>54</v>
      </c>
      <c r="J1353" s="5">
        <v>191.19</v>
      </c>
      <c r="K1353" s="24">
        <f>IF(AND(H1353&gt;0,J1353&gt;0),(J1353-H1353)/H1353,"")</f>
        <v>0</v>
      </c>
      <c r="L1353" s="5"/>
      <c r="M1353" s="8" t="str">
        <f>IF(AND(J1353&gt;0,L1353&gt;0),(L1353-J1353)/J1353,IF(AND(H1353&gt;0,L1353&gt;0),(L1353-H1353)/H1353,""))</f>
        <v/>
      </c>
      <c r="N1353" s="6">
        <v>46000</v>
      </c>
      <c r="O1353" s="5">
        <v>191.19</v>
      </c>
      <c r="P1353" s="8" t="str">
        <f>IF(AND(L1353&gt;0,O1353&gt;0),(O1353-L1353)/L1353,"")</f>
        <v/>
      </c>
      <c r="Q1353" s="9"/>
      <c r="R1353" s="9">
        <v>1</v>
      </c>
      <c r="S1353" s="21">
        <f>IF(N1353&gt;0,TODAY()-N1353,"")</f>
        <v>111</v>
      </c>
    </row>
    <row r="1354" ht="17" customHeight="1" spans="1:19" x14ac:dyDescent="0.25">
      <c r="A1354" s="11" t="s">
        <v>2711</v>
      </c>
      <c r="B1354" s="11" t="s">
        <v>2711</v>
      </c>
      <c r="C1354" s="11" t="s">
        <v>2716</v>
      </c>
      <c r="D1354" s="11" t="s">
        <v>2717</v>
      </c>
      <c r="E1354" s="12">
        <v>26</v>
      </c>
      <c r="F1354" s="13">
        <v>191.19</v>
      </c>
      <c r="G1354" s="14">
        <v>46002</v>
      </c>
      <c r="H1354" s="13">
        <v>191.19</v>
      </c>
      <c r="I1354" s="15" t="s">
        <v>54</v>
      </c>
      <c r="J1354" s="13">
        <v>191.19</v>
      </c>
      <c r="K1354" s="17">
        <f>IF(AND(H1354&gt;0,J1354&gt;0),(J1354-H1354)/H1354,"")</f>
        <v>0</v>
      </c>
      <c r="L1354" s="13"/>
      <c r="M1354" s="16" t="str">
        <f>IF(AND(J1354&gt;0,L1354&gt;0),(L1354-J1354)/J1354,IF(AND(H1354&gt;0,L1354&gt;0),(L1354-H1354)/H1354,""))</f>
        <v/>
      </c>
      <c r="N1354" s="14">
        <v>46002</v>
      </c>
      <c r="O1354" s="13">
        <v>191.19</v>
      </c>
      <c r="P1354" s="16" t="str">
        <f>IF(AND(L1354&gt;0,O1354&gt;0),(O1354-L1354)/L1354,"")</f>
        <v/>
      </c>
      <c r="Q1354" s="18"/>
      <c r="R1354" s="18">
        <v>1</v>
      </c>
      <c r="S1354" s="21">
        <f>IF(N1354&gt;0,TODAY()-N1354,"")</f>
        <v>109</v>
      </c>
    </row>
    <row r="1355" ht="22" customHeight="1" spans="1:19" x14ac:dyDescent="0.25">
      <c r="A1355" s="32" t="s">
        <v>2718</v>
      </c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</row>
    <row r="1356" ht="17" customHeight="1" spans="1:19" x14ac:dyDescent="0.25">
      <c r="A1356" s="11" t="s">
        <v>2719</v>
      </c>
      <c r="B1356" s="11" t="s">
        <v>2719</v>
      </c>
      <c r="C1356" s="11" t="s">
        <v>2720</v>
      </c>
      <c r="D1356" s="11" t="s">
        <v>2721</v>
      </c>
      <c r="E1356" s="12">
        <v>1</v>
      </c>
      <c r="F1356" s="13">
        <v>73000</v>
      </c>
      <c r="G1356" s="14">
        <v>46021</v>
      </c>
      <c r="H1356" s="13">
        <v>73000</v>
      </c>
      <c r="I1356" s="15" t="s">
        <v>54</v>
      </c>
      <c r="J1356" s="13">
        <v>73000</v>
      </c>
      <c r="K1356" s="17">
        <f>IF(AND(H1356&gt;0,J1356&gt;0),(J1356-H1356)/H1356,"")</f>
        <v>0</v>
      </c>
      <c r="L1356" s="13"/>
      <c r="M1356" s="16" t="str">
        <f>IF(AND(J1356&gt;0,L1356&gt;0),(L1356-J1356)/J1356,IF(AND(H1356&gt;0,L1356&gt;0),(L1356-H1356)/H1356,""))</f>
        <v/>
      </c>
      <c r="N1356" s="14">
        <v>46021</v>
      </c>
      <c r="O1356" s="13">
        <v>73000</v>
      </c>
      <c r="P1356" s="16" t="str">
        <f>IF(AND(L1356&gt;0,O1356&gt;0),(O1356-L1356)/L1356,"")</f>
        <v/>
      </c>
      <c r="Q1356" s="18"/>
      <c r="R1356" s="18">
        <v>1</v>
      </c>
      <c r="S1356" s="19">
        <f>IF(N1356&gt;0,TODAY()-N1356,"")</f>
        <v>90</v>
      </c>
    </row>
    <row r="1357" ht="22" customHeight="1" spans="1:19" x14ac:dyDescent="0.25">
      <c r="A1357" s="33" t="s">
        <v>2722</v>
      </c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</row>
    <row r="1358" ht="17" customHeight="1" spans="1:19" x14ac:dyDescent="0.25">
      <c r="A1358" s="11" t="s">
        <v>2723</v>
      </c>
      <c r="B1358" s="11" t="s">
        <v>2724</v>
      </c>
      <c r="C1358" s="11" t="s">
        <v>2725</v>
      </c>
      <c r="D1358" s="11" t="s">
        <v>2726</v>
      </c>
      <c r="E1358" s="12">
        <v>8</v>
      </c>
      <c r="F1358" s="13">
        <v>160.625</v>
      </c>
      <c r="G1358" s="14">
        <v>45810</v>
      </c>
      <c r="H1358" s="13">
        <v>170</v>
      </c>
      <c r="I1358" s="15" t="s">
        <v>24</v>
      </c>
      <c r="J1358" s="13"/>
      <c r="K1358" s="16" t="str">
        <f>IF(AND(H1358&gt;0,J1358&gt;0),(J1358-H1358)/H1358,"")</f>
        <v/>
      </c>
      <c r="L1358" s="13"/>
      <c r="M1358" s="16" t="str">
        <f>IF(AND(J1358&gt;0,L1358&gt;0),(L1358-J1358)/J1358,IF(AND(H1358&gt;0,L1358&gt;0),(L1358-H1358)/H1358,""))</f>
        <v/>
      </c>
      <c r="N1358" s="14">
        <v>45930</v>
      </c>
      <c r="O1358" s="13">
        <v>151.25</v>
      </c>
      <c r="P1358" s="16" t="str">
        <f>IF(AND(L1358&gt;0,O1358&gt;0),(O1358-L1358)/L1358,"")</f>
        <v/>
      </c>
      <c r="Q1358" s="18">
        <v>60</v>
      </c>
      <c r="R1358" s="18">
        <v>3</v>
      </c>
      <c r="S1358" s="10">
        <f>IF(N1358&gt;0,TODAY()-N1358,"")</f>
        <v>181</v>
      </c>
    </row>
    <row r="1359" ht="17" customHeight="1" spans="1:19" x14ac:dyDescent="0.25">
      <c r="A1359" s="3" t="s">
        <v>2723</v>
      </c>
      <c r="B1359" s="3" t="s">
        <v>2724</v>
      </c>
      <c r="C1359" s="3" t="s">
        <v>2727</v>
      </c>
      <c r="D1359" s="3" t="s">
        <v>2728</v>
      </c>
      <c r="E1359" s="4">
        <v>1</v>
      </c>
      <c r="F1359" s="5">
        <v>120</v>
      </c>
      <c r="G1359" s="6">
        <v>45810</v>
      </c>
      <c r="H1359" s="5">
        <v>120</v>
      </c>
      <c r="I1359" s="7" t="s">
        <v>24</v>
      </c>
      <c r="J1359" s="5"/>
      <c r="K1359" s="8" t="str">
        <f>IF(AND(H1359&gt;0,J1359&gt;0),(J1359-H1359)/H1359,"")</f>
        <v/>
      </c>
      <c r="L1359" s="5"/>
      <c r="M1359" s="8" t="str">
        <f>IF(AND(J1359&gt;0,L1359&gt;0),(L1359-J1359)/J1359,IF(AND(H1359&gt;0,L1359&gt;0),(L1359-H1359)/H1359,""))</f>
        <v/>
      </c>
      <c r="N1359" s="6">
        <v>45810</v>
      </c>
      <c r="O1359" s="5">
        <v>120</v>
      </c>
      <c r="P1359" s="8" t="str">
        <f>IF(AND(L1359&gt;0,O1359&gt;0),(O1359-L1359)/L1359,"")</f>
        <v/>
      </c>
      <c r="Q1359" s="9"/>
      <c r="R1359" s="9">
        <v>1</v>
      </c>
      <c r="S1359" s="10">
        <f>IF(N1359&gt;0,TODAY()-N1359,"")</f>
        <v>301</v>
      </c>
    </row>
    <row r="1360" ht="17" customHeight="1" spans="1:19" x14ac:dyDescent="0.25">
      <c r="A1360" s="11" t="s">
        <v>2723</v>
      </c>
      <c r="B1360" s="11" t="s">
        <v>2724</v>
      </c>
      <c r="C1360" s="11" t="s">
        <v>2729</v>
      </c>
      <c r="D1360" s="11" t="s">
        <v>2730</v>
      </c>
      <c r="E1360" s="12">
        <v>1</v>
      </c>
      <c r="F1360" s="13">
        <v>7000</v>
      </c>
      <c r="G1360" s="14">
        <v>45742</v>
      </c>
      <c r="H1360" s="13">
        <v>7000</v>
      </c>
      <c r="I1360" s="15" t="s">
        <v>24</v>
      </c>
      <c r="J1360" s="13"/>
      <c r="K1360" s="16" t="str">
        <f>IF(AND(H1360&gt;0,J1360&gt;0),(J1360-H1360)/H1360,"")</f>
        <v/>
      </c>
      <c r="L1360" s="13"/>
      <c r="M1360" s="16" t="str">
        <f>IF(AND(J1360&gt;0,L1360&gt;0),(L1360-J1360)/J1360,IF(AND(H1360&gt;0,L1360&gt;0),(L1360-H1360)/H1360,""))</f>
        <v/>
      </c>
      <c r="N1360" s="14">
        <v>45742</v>
      </c>
      <c r="O1360" s="13">
        <v>7000</v>
      </c>
      <c r="P1360" s="16" t="str">
        <f>IF(AND(L1360&gt;0,O1360&gt;0),(O1360-L1360)/L1360,"")</f>
        <v/>
      </c>
      <c r="Q1360" s="18"/>
      <c r="R1360" s="18">
        <v>1</v>
      </c>
      <c r="S1360" s="10">
        <f>IF(N1360&gt;0,TODAY()-N1360,"")</f>
        <v>369</v>
      </c>
    </row>
    <row r="1361" ht="17" customHeight="1" spans="1:19" x14ac:dyDescent="0.25">
      <c r="A1361" s="3" t="s">
        <v>2723</v>
      </c>
      <c r="B1361" s="3" t="s">
        <v>2724</v>
      </c>
      <c r="C1361" s="3" t="s">
        <v>2731</v>
      </c>
      <c r="D1361" s="3" t="s">
        <v>2732</v>
      </c>
      <c r="E1361" s="4">
        <v>3</v>
      </c>
      <c r="F1361" s="5">
        <v>2400</v>
      </c>
      <c r="G1361" s="6">
        <v>45848</v>
      </c>
      <c r="H1361" s="5">
        <v>1300</v>
      </c>
      <c r="I1361" s="7" t="s">
        <v>24</v>
      </c>
      <c r="J1361" s="5"/>
      <c r="K1361" s="8" t="str">
        <f>IF(AND(H1361&gt;0,J1361&gt;0),(J1361-H1361)/H1361,"")</f>
        <v/>
      </c>
      <c r="L1361" s="5"/>
      <c r="M1361" s="8" t="str">
        <f>IF(AND(J1361&gt;0,L1361&gt;0),(L1361-J1361)/J1361,IF(AND(H1361&gt;0,L1361&gt;0),(L1361-H1361)/H1361,""))</f>
        <v/>
      </c>
      <c r="N1361" s="6">
        <v>45863</v>
      </c>
      <c r="O1361" s="5">
        <v>1300</v>
      </c>
      <c r="P1361" s="8" t="str">
        <f>IF(AND(L1361&gt;0,O1361&gt;0),(O1361-L1361)/L1361,"")</f>
        <v/>
      </c>
      <c r="Q1361" s="9">
        <v>15</v>
      </c>
      <c r="R1361" s="9">
        <v>2</v>
      </c>
      <c r="S1361" s="10">
        <f>IF(N1361&gt;0,TODAY()-N1361,"")</f>
        <v>248</v>
      </c>
    </row>
    <row r="1362" ht="17" customHeight="1" spans="1:19" x14ac:dyDescent="0.25">
      <c r="A1362" s="11" t="s">
        <v>2723</v>
      </c>
      <c r="B1362" s="11" t="s">
        <v>2724</v>
      </c>
      <c r="C1362" s="11" t="s">
        <v>2733</v>
      </c>
      <c r="D1362" s="11" t="s">
        <v>2734</v>
      </c>
      <c r="E1362" s="12">
        <v>3</v>
      </c>
      <c r="F1362" s="13">
        <v>1550</v>
      </c>
      <c r="G1362" s="14">
        <v>45848</v>
      </c>
      <c r="H1362" s="13">
        <v>915.91</v>
      </c>
      <c r="I1362" s="15" t="s">
        <v>24</v>
      </c>
      <c r="J1362" s="13"/>
      <c r="K1362" s="16" t="str">
        <f>IF(AND(H1362&gt;0,J1362&gt;0),(J1362-H1362)/H1362,"")</f>
        <v/>
      </c>
      <c r="L1362" s="13"/>
      <c r="M1362" s="16" t="str">
        <f>IF(AND(J1362&gt;0,L1362&gt;0),(L1362-J1362)/J1362,IF(AND(H1362&gt;0,L1362&gt;0),(L1362-H1362)/H1362,""))</f>
        <v/>
      </c>
      <c r="N1362" s="14">
        <v>45863</v>
      </c>
      <c r="O1362" s="13">
        <v>839.58</v>
      </c>
      <c r="P1362" s="16" t="str">
        <f>IF(AND(L1362&gt;0,O1362&gt;0),(O1362-L1362)/L1362,"")</f>
        <v/>
      </c>
      <c r="Q1362" s="18">
        <v>15</v>
      </c>
      <c r="R1362" s="18">
        <v>2</v>
      </c>
      <c r="S1362" s="10">
        <f>IF(N1362&gt;0,TODAY()-N1362,"")</f>
        <v>248</v>
      </c>
    </row>
    <row r="1363" ht="17" customHeight="1" spans="1:19" x14ac:dyDescent="0.25">
      <c r="A1363" s="3" t="s">
        <v>2723</v>
      </c>
      <c r="B1363" s="3" t="s">
        <v>2724</v>
      </c>
      <c r="C1363" s="3" t="s">
        <v>2735</v>
      </c>
      <c r="D1363" s="3" t="s">
        <v>2736</v>
      </c>
      <c r="E1363" s="4">
        <v>3</v>
      </c>
      <c r="F1363" s="5">
        <v>600</v>
      </c>
      <c r="G1363" s="6">
        <v>45848</v>
      </c>
      <c r="H1363" s="5">
        <v>325</v>
      </c>
      <c r="I1363" s="7" t="s">
        <v>24</v>
      </c>
      <c r="J1363" s="5"/>
      <c r="K1363" s="8" t="str">
        <f>IF(AND(H1363&gt;0,J1363&gt;0),(J1363-H1363)/H1363,"")</f>
        <v/>
      </c>
      <c r="L1363" s="5"/>
      <c r="M1363" s="8" t="str">
        <f>IF(AND(J1363&gt;0,L1363&gt;0),(L1363-J1363)/J1363,IF(AND(H1363&gt;0,L1363&gt;0),(L1363-H1363)/H1363,""))</f>
        <v/>
      </c>
      <c r="N1363" s="6">
        <v>45863</v>
      </c>
      <c r="O1363" s="5">
        <v>325</v>
      </c>
      <c r="P1363" s="8" t="str">
        <f>IF(AND(L1363&gt;0,O1363&gt;0),(O1363-L1363)/L1363,"")</f>
        <v/>
      </c>
      <c r="Q1363" s="9">
        <v>15</v>
      </c>
      <c r="R1363" s="9">
        <v>2</v>
      </c>
      <c r="S1363" s="10">
        <f>IF(N1363&gt;0,TODAY()-N1363,"")</f>
        <v>248</v>
      </c>
    </row>
    <row r="1364" ht="17" customHeight="1" spans="1:19" x14ac:dyDescent="0.25">
      <c r="A1364" s="11" t="s">
        <v>2723</v>
      </c>
      <c r="B1364" s="11" t="s">
        <v>2724</v>
      </c>
      <c r="C1364" s="11" t="s">
        <v>2737</v>
      </c>
      <c r="D1364" s="11" t="s">
        <v>2738</v>
      </c>
      <c r="E1364" s="12">
        <v>1</v>
      </c>
      <c r="F1364" s="13">
        <v>40000</v>
      </c>
      <c r="G1364" s="14">
        <v>46038</v>
      </c>
      <c r="H1364" s="13">
        <v>40000</v>
      </c>
      <c r="I1364" s="15" t="s">
        <v>24</v>
      </c>
      <c r="J1364" s="13"/>
      <c r="K1364" s="16" t="str">
        <f>IF(AND(H1364&gt;0,J1364&gt;0),(J1364-H1364)/H1364,"")</f>
        <v/>
      </c>
      <c r="L1364" s="13">
        <v>40000</v>
      </c>
      <c r="M1364" s="17">
        <f>IF(AND(J1364&gt;0,L1364&gt;0),(L1364-J1364)/J1364,IF(AND(H1364&gt;0,L1364&gt;0),(L1364-H1364)/H1364,""))</f>
        <v>0</v>
      </c>
      <c r="N1364" s="14">
        <v>46038</v>
      </c>
      <c r="O1364" s="13">
        <v>40000</v>
      </c>
      <c r="P1364" s="16" t="str">
        <f>IF(AND(L1364&gt;0,O1364&gt;0),(O1364-L1364)/L1364,"")</f>
        <v/>
      </c>
      <c r="Q1364" s="18"/>
      <c r="R1364" s="18">
        <v>1</v>
      </c>
      <c r="S1364" s="19">
        <f>IF(N1364&gt;0,TODAY()-N1364,"")</f>
        <v>73</v>
      </c>
    </row>
    <row r="1365" ht="17" customHeight="1" spans="1:19" x14ac:dyDescent="0.25">
      <c r="A1365" s="3" t="s">
        <v>2723</v>
      </c>
      <c r="B1365" s="3" t="s">
        <v>2724</v>
      </c>
      <c r="C1365" s="3" t="s">
        <v>2739</v>
      </c>
      <c r="D1365" s="3" t="s">
        <v>2740</v>
      </c>
      <c r="E1365" s="4">
        <v>2</v>
      </c>
      <c r="F1365" s="5">
        <v>1200</v>
      </c>
      <c r="G1365" s="6">
        <v>45848</v>
      </c>
      <c r="H1365" s="5">
        <v>650</v>
      </c>
      <c r="I1365" s="7" t="s">
        <v>24</v>
      </c>
      <c r="J1365" s="5"/>
      <c r="K1365" s="8" t="str">
        <f>IF(AND(H1365&gt;0,J1365&gt;0),(J1365-H1365)/H1365,"")</f>
        <v/>
      </c>
      <c r="L1365" s="5"/>
      <c r="M1365" s="8" t="str">
        <f>IF(AND(J1365&gt;0,L1365&gt;0),(L1365-J1365)/J1365,IF(AND(H1365&gt;0,L1365&gt;0),(L1365-H1365)/H1365,""))</f>
        <v/>
      </c>
      <c r="N1365" s="6">
        <v>45848</v>
      </c>
      <c r="O1365" s="5">
        <v>650</v>
      </c>
      <c r="P1365" s="8" t="str">
        <f>IF(AND(L1365&gt;0,O1365&gt;0),(O1365-L1365)/L1365,"")</f>
        <v/>
      </c>
      <c r="Q1365" s="9"/>
      <c r="R1365" s="9">
        <v>1</v>
      </c>
      <c r="S1365" s="10">
        <f>IF(N1365&gt;0,TODAY()-N1365,"")</f>
        <v>263</v>
      </c>
    </row>
    <row r="1366" ht="17" customHeight="1" spans="1:19" x14ac:dyDescent="0.25">
      <c r="A1366" s="11" t="s">
        <v>2723</v>
      </c>
      <c r="B1366" s="11" t="s">
        <v>2724</v>
      </c>
      <c r="C1366" s="11" t="s">
        <v>2741</v>
      </c>
      <c r="D1366" s="11" t="s">
        <v>2742</v>
      </c>
      <c r="E1366" s="12">
        <v>1</v>
      </c>
      <c r="F1366" s="13">
        <v>1330</v>
      </c>
      <c r="G1366" s="14">
        <v>45684</v>
      </c>
      <c r="H1366" s="13">
        <v>1330</v>
      </c>
      <c r="I1366" s="15" t="s">
        <v>24</v>
      </c>
      <c r="J1366" s="13"/>
      <c r="K1366" s="16" t="str">
        <f>IF(AND(H1366&gt;0,J1366&gt;0),(J1366-H1366)/H1366,"")</f>
        <v/>
      </c>
      <c r="L1366" s="13"/>
      <c r="M1366" s="16" t="str">
        <f>IF(AND(J1366&gt;0,L1366&gt;0),(L1366-J1366)/J1366,IF(AND(H1366&gt;0,L1366&gt;0),(L1366-H1366)/H1366,""))</f>
        <v/>
      </c>
      <c r="N1366" s="14">
        <v>45684</v>
      </c>
      <c r="O1366" s="13">
        <v>1330</v>
      </c>
      <c r="P1366" s="16" t="str">
        <f>IF(AND(L1366&gt;0,O1366&gt;0),(O1366-L1366)/L1366,"")</f>
        <v/>
      </c>
      <c r="Q1366" s="18"/>
      <c r="R1366" s="18">
        <v>1</v>
      </c>
      <c r="S1366" s="10">
        <f>IF(N1366&gt;0,TODAY()-N1366,"")</f>
        <v>427</v>
      </c>
    </row>
    <row r="1367" ht="17" customHeight="1" spans="1:19" x14ac:dyDescent="0.25">
      <c r="A1367" s="3" t="s">
        <v>2723</v>
      </c>
      <c r="B1367" s="3" t="s">
        <v>2724</v>
      </c>
      <c r="C1367" s="3" t="s">
        <v>2743</v>
      </c>
      <c r="D1367" s="3" t="s">
        <v>2744</v>
      </c>
      <c r="E1367" s="4">
        <v>12</v>
      </c>
      <c r="F1367" s="5">
        <v>618.75</v>
      </c>
      <c r="G1367" s="6">
        <v>45908</v>
      </c>
      <c r="H1367" s="5">
        <v>618.75</v>
      </c>
      <c r="I1367" s="7" t="s">
        <v>24</v>
      </c>
      <c r="J1367" s="5"/>
      <c r="K1367" s="8" t="str">
        <f>IF(AND(H1367&gt;0,J1367&gt;0),(J1367-H1367)/H1367,"")</f>
        <v/>
      </c>
      <c r="L1367" s="5"/>
      <c r="M1367" s="8" t="str">
        <f>IF(AND(J1367&gt;0,L1367&gt;0),(L1367-J1367)/J1367,IF(AND(H1367&gt;0,L1367&gt;0),(L1367-H1367)/H1367,""))</f>
        <v/>
      </c>
      <c r="N1367" s="6">
        <v>45908</v>
      </c>
      <c r="O1367" s="5">
        <v>618.75</v>
      </c>
      <c r="P1367" s="8" t="str">
        <f>IF(AND(L1367&gt;0,O1367&gt;0),(O1367-L1367)/L1367,"")</f>
        <v/>
      </c>
      <c r="Q1367" s="9"/>
      <c r="R1367" s="9">
        <v>1</v>
      </c>
      <c r="S1367" s="10">
        <f>IF(N1367&gt;0,TODAY()-N1367,"")</f>
        <v>203</v>
      </c>
    </row>
    <row r="1368" ht="17" customHeight="1" spans="1:19" x14ac:dyDescent="0.25">
      <c r="A1368" s="11" t="s">
        <v>2723</v>
      </c>
      <c r="B1368" s="11" t="s">
        <v>2724</v>
      </c>
      <c r="C1368" s="11" t="s">
        <v>2745</v>
      </c>
      <c r="D1368" s="11" t="s">
        <v>2746</v>
      </c>
      <c r="E1368" s="12">
        <v>12</v>
      </c>
      <c r="F1368" s="13">
        <v>656.25</v>
      </c>
      <c r="G1368" s="14">
        <v>45908</v>
      </c>
      <c r="H1368" s="13">
        <v>656.25</v>
      </c>
      <c r="I1368" s="15" t="s">
        <v>24</v>
      </c>
      <c r="J1368" s="13"/>
      <c r="K1368" s="16" t="str">
        <f>IF(AND(H1368&gt;0,J1368&gt;0),(J1368-H1368)/H1368,"")</f>
        <v/>
      </c>
      <c r="L1368" s="13"/>
      <c r="M1368" s="16" t="str">
        <f>IF(AND(J1368&gt;0,L1368&gt;0),(L1368-J1368)/J1368,IF(AND(H1368&gt;0,L1368&gt;0),(L1368-H1368)/H1368,""))</f>
        <v/>
      </c>
      <c r="N1368" s="14">
        <v>45908</v>
      </c>
      <c r="O1368" s="13">
        <v>656.25</v>
      </c>
      <c r="P1368" s="16" t="str">
        <f>IF(AND(L1368&gt;0,O1368&gt;0),(O1368-L1368)/L1368,"")</f>
        <v/>
      </c>
      <c r="Q1368" s="18"/>
      <c r="R1368" s="18">
        <v>1</v>
      </c>
      <c r="S1368" s="10">
        <f>IF(N1368&gt;0,TODAY()-N1368,"")</f>
        <v>203</v>
      </c>
    </row>
    <row r="1369" ht="17" customHeight="1" spans="1:19" x14ac:dyDescent="0.25">
      <c r="A1369" s="3" t="s">
        <v>2723</v>
      </c>
      <c r="B1369" s="3" t="s">
        <v>2724</v>
      </c>
      <c r="C1369" s="3" t="s">
        <v>2747</v>
      </c>
      <c r="D1369" s="3" t="s">
        <v>2748</v>
      </c>
      <c r="E1369" s="4">
        <v>2</v>
      </c>
      <c r="F1369" s="5">
        <v>75</v>
      </c>
      <c r="G1369" s="6">
        <v>45939</v>
      </c>
      <c r="H1369" s="5">
        <v>75</v>
      </c>
      <c r="I1369" s="7" t="s">
        <v>57</v>
      </c>
      <c r="J1369" s="5">
        <v>75</v>
      </c>
      <c r="K1369" s="24">
        <f>IF(AND(H1369&gt;0,J1369&gt;0),(J1369-H1369)/H1369,"")</f>
        <v>0</v>
      </c>
      <c r="L1369" s="5"/>
      <c r="M1369" s="8" t="str">
        <f>IF(AND(J1369&gt;0,L1369&gt;0),(L1369-J1369)/J1369,IF(AND(H1369&gt;0,L1369&gt;0),(L1369-H1369)/H1369,""))</f>
        <v/>
      </c>
      <c r="N1369" s="6">
        <v>45939</v>
      </c>
      <c r="O1369" s="5">
        <v>75</v>
      </c>
      <c r="P1369" s="8" t="str">
        <f>IF(AND(L1369&gt;0,O1369&gt;0),(O1369-L1369)/L1369,"")</f>
        <v/>
      </c>
      <c r="Q1369" s="9"/>
      <c r="R1369" s="9">
        <v>1</v>
      </c>
      <c r="S1369" s="21">
        <f>IF(N1369&gt;0,TODAY()-N1369,"")</f>
        <v>172</v>
      </c>
    </row>
    <row r="1370" ht="17" customHeight="1" spans="1:19" x14ac:dyDescent="0.25">
      <c r="A1370" s="11" t="s">
        <v>2723</v>
      </c>
      <c r="B1370" s="11" t="s">
        <v>2724</v>
      </c>
      <c r="C1370" s="11" t="s">
        <v>2749</v>
      </c>
      <c r="D1370" s="11" t="s">
        <v>2750</v>
      </c>
      <c r="E1370" s="12">
        <v>2</v>
      </c>
      <c r="F1370" s="13">
        <v>73.125</v>
      </c>
      <c r="G1370" s="14">
        <v>45939</v>
      </c>
      <c r="H1370" s="13">
        <v>73.13</v>
      </c>
      <c r="I1370" s="15" t="s">
        <v>57</v>
      </c>
      <c r="J1370" s="13">
        <v>73.13</v>
      </c>
      <c r="K1370" s="17">
        <f>IF(AND(H1370&gt;0,J1370&gt;0),(J1370-H1370)/H1370,"")</f>
        <v>0</v>
      </c>
      <c r="L1370" s="13"/>
      <c r="M1370" s="16" t="str">
        <f>IF(AND(J1370&gt;0,L1370&gt;0),(L1370-J1370)/J1370,IF(AND(H1370&gt;0,L1370&gt;0),(L1370-H1370)/H1370,""))</f>
        <v/>
      </c>
      <c r="N1370" s="14">
        <v>45939</v>
      </c>
      <c r="O1370" s="13">
        <v>73.13</v>
      </c>
      <c r="P1370" s="16" t="str">
        <f>IF(AND(L1370&gt;0,O1370&gt;0),(O1370-L1370)/L1370,"")</f>
        <v/>
      </c>
      <c r="Q1370" s="18"/>
      <c r="R1370" s="18">
        <v>1</v>
      </c>
      <c r="S1370" s="21">
        <f>IF(N1370&gt;0,TODAY()-N1370,"")</f>
        <v>172</v>
      </c>
    </row>
    <row r="1371" ht="17" customHeight="1" spans="1:19" x14ac:dyDescent="0.25">
      <c r="A1371" s="3" t="s">
        <v>2723</v>
      </c>
      <c r="B1371" s="3" t="s">
        <v>2724</v>
      </c>
      <c r="C1371" s="3" t="s">
        <v>2751</v>
      </c>
      <c r="D1371" s="3" t="s">
        <v>2752</v>
      </c>
      <c r="E1371" s="4">
        <v>2</v>
      </c>
      <c r="F1371" s="5">
        <v>187.5</v>
      </c>
      <c r="G1371" s="6">
        <v>45908</v>
      </c>
      <c r="H1371" s="5">
        <v>187.5</v>
      </c>
      <c r="I1371" s="7" t="s">
        <v>24</v>
      </c>
      <c r="J1371" s="5"/>
      <c r="K1371" s="8" t="str">
        <f>IF(AND(H1371&gt;0,J1371&gt;0),(J1371-H1371)/H1371,"")</f>
        <v/>
      </c>
      <c r="L1371" s="5"/>
      <c r="M1371" s="8" t="str">
        <f>IF(AND(J1371&gt;0,L1371&gt;0),(L1371-J1371)/J1371,IF(AND(H1371&gt;0,L1371&gt;0),(L1371-H1371)/H1371,""))</f>
        <v/>
      </c>
      <c r="N1371" s="6">
        <v>45908</v>
      </c>
      <c r="O1371" s="5">
        <v>187.5</v>
      </c>
      <c r="P1371" s="8" t="str">
        <f>IF(AND(L1371&gt;0,O1371&gt;0),(O1371-L1371)/L1371,"")</f>
        <v/>
      </c>
      <c r="Q1371" s="9"/>
      <c r="R1371" s="9">
        <v>1</v>
      </c>
      <c r="S1371" s="10">
        <f>IF(N1371&gt;0,TODAY()-N1371,"")</f>
        <v>203</v>
      </c>
    </row>
    <row r="1372" ht="17" customHeight="1" spans="1:19" x14ac:dyDescent="0.25">
      <c r="A1372" s="11" t="s">
        <v>2723</v>
      </c>
      <c r="B1372" s="11" t="s">
        <v>2724</v>
      </c>
      <c r="C1372" s="11" t="s">
        <v>2753</v>
      </c>
      <c r="D1372" s="11" t="s">
        <v>2754</v>
      </c>
      <c r="E1372" s="12">
        <v>3</v>
      </c>
      <c r="F1372" s="13">
        <v>140</v>
      </c>
      <c r="G1372" s="14">
        <v>45848</v>
      </c>
      <c r="H1372" s="13">
        <v>75.83</v>
      </c>
      <c r="I1372" s="15" t="s">
        <v>24</v>
      </c>
      <c r="J1372" s="13"/>
      <c r="K1372" s="16" t="str">
        <f>IF(AND(H1372&gt;0,J1372&gt;0),(J1372-H1372)/H1372,"")</f>
        <v/>
      </c>
      <c r="L1372" s="13"/>
      <c r="M1372" s="16" t="str">
        <f>IF(AND(J1372&gt;0,L1372&gt;0),(L1372-J1372)/J1372,IF(AND(H1372&gt;0,L1372&gt;0),(L1372-H1372)/H1372,""))</f>
        <v/>
      </c>
      <c r="N1372" s="14">
        <v>45863</v>
      </c>
      <c r="O1372" s="13">
        <v>75.83</v>
      </c>
      <c r="P1372" s="16" t="str">
        <f>IF(AND(L1372&gt;0,O1372&gt;0),(O1372-L1372)/L1372,"")</f>
        <v/>
      </c>
      <c r="Q1372" s="18">
        <v>15</v>
      </c>
      <c r="R1372" s="18">
        <v>2</v>
      </c>
      <c r="S1372" s="10">
        <f>IF(N1372&gt;0,TODAY()-N1372,"")</f>
        <v>248</v>
      </c>
    </row>
    <row r="1373" ht="17" customHeight="1" spans="1:19" x14ac:dyDescent="0.25">
      <c r="A1373" s="3" t="s">
        <v>2723</v>
      </c>
      <c r="B1373" s="3" t="s">
        <v>2724</v>
      </c>
      <c r="C1373" s="3" t="s">
        <v>2755</v>
      </c>
      <c r="D1373" s="3" t="s">
        <v>2756</v>
      </c>
      <c r="E1373" s="4">
        <v>3</v>
      </c>
      <c r="F1373" s="5">
        <v>491.0942</v>
      </c>
      <c r="G1373" s="6">
        <v>45870</v>
      </c>
      <c r="H1373" s="5">
        <v>491.09</v>
      </c>
      <c r="I1373" s="7" t="s">
        <v>24</v>
      </c>
      <c r="J1373" s="5"/>
      <c r="K1373" s="8" t="str">
        <f>IF(AND(H1373&gt;0,J1373&gt;0),(J1373-H1373)/H1373,"")</f>
        <v/>
      </c>
      <c r="L1373" s="5"/>
      <c r="M1373" s="8" t="str">
        <f>IF(AND(J1373&gt;0,L1373&gt;0),(L1373-J1373)/J1373,IF(AND(H1373&gt;0,L1373&gt;0),(L1373-H1373)/H1373,""))</f>
        <v/>
      </c>
      <c r="N1373" s="6">
        <v>45870</v>
      </c>
      <c r="O1373" s="5">
        <v>491.09</v>
      </c>
      <c r="P1373" s="8" t="str">
        <f>IF(AND(L1373&gt;0,O1373&gt;0),(O1373-L1373)/L1373,"")</f>
        <v/>
      </c>
      <c r="Q1373" s="9"/>
      <c r="R1373" s="9">
        <v>1</v>
      </c>
      <c r="S1373" s="10">
        <f>IF(N1373&gt;0,TODAY()-N1373,"")</f>
        <v>241</v>
      </c>
    </row>
    <row r="1374" ht="17" customHeight="1" spans="1:19" x14ac:dyDescent="0.25">
      <c r="A1374" s="11" t="s">
        <v>2723</v>
      </c>
      <c r="B1374" s="11" t="s">
        <v>2724</v>
      </c>
      <c r="C1374" s="11" t="s">
        <v>2757</v>
      </c>
      <c r="D1374" s="11" t="s">
        <v>2758</v>
      </c>
      <c r="E1374" s="12">
        <v>1</v>
      </c>
      <c r="F1374" s="13">
        <v>400</v>
      </c>
      <c r="G1374" s="14">
        <v>45754</v>
      </c>
      <c r="H1374" s="13">
        <v>216.67</v>
      </c>
      <c r="I1374" s="15" t="s">
        <v>24</v>
      </c>
      <c r="J1374" s="13"/>
      <c r="K1374" s="16" t="str">
        <f>IF(AND(H1374&gt;0,J1374&gt;0),(J1374-H1374)/H1374,"")</f>
        <v/>
      </c>
      <c r="L1374" s="13"/>
      <c r="M1374" s="16" t="str">
        <f>IF(AND(J1374&gt;0,L1374&gt;0),(L1374-J1374)/J1374,IF(AND(H1374&gt;0,L1374&gt;0),(L1374-H1374)/H1374,""))</f>
        <v/>
      </c>
      <c r="N1374" s="14">
        <v>45754</v>
      </c>
      <c r="O1374" s="13">
        <v>216.67</v>
      </c>
      <c r="P1374" s="16" t="str">
        <f>IF(AND(L1374&gt;0,O1374&gt;0),(O1374-L1374)/L1374,"")</f>
        <v/>
      </c>
      <c r="Q1374" s="18"/>
      <c r="R1374" s="18">
        <v>1</v>
      </c>
      <c r="S1374" s="10">
        <f>IF(N1374&gt;0,TODAY()-N1374,"")</f>
        <v>357</v>
      </c>
    </row>
    <row r="1375" ht="17" customHeight="1" spans="1:19" x14ac:dyDescent="0.25">
      <c r="A1375" s="3" t="s">
        <v>2723</v>
      </c>
      <c r="B1375" s="3" t="s">
        <v>2724</v>
      </c>
      <c r="C1375" s="3" t="s">
        <v>2759</v>
      </c>
      <c r="D1375" s="3" t="s">
        <v>2760</v>
      </c>
      <c r="E1375" s="4">
        <v>142</v>
      </c>
      <c r="F1375" s="5">
        <v>504.83436619718304</v>
      </c>
      <c r="G1375" s="6">
        <v>45663</v>
      </c>
      <c r="H1375" s="5">
        <v>264.53</v>
      </c>
      <c r="I1375" s="7" t="s">
        <v>24</v>
      </c>
      <c r="J1375" s="5"/>
      <c r="K1375" s="8" t="str">
        <f>IF(AND(H1375&gt;0,J1375&gt;0),(J1375-H1375)/H1375,"")</f>
        <v/>
      </c>
      <c r="L1375" s="5">
        <v>323.19</v>
      </c>
      <c r="M1375" s="22">
        <f>IF(AND(J1375&gt;0,L1375&gt;0),(L1375-J1375)/J1375,IF(AND(H1375&gt;0,L1375&gt;0),(L1375-H1375)/H1375,""))</f>
        <v>0.22175178618682204</v>
      </c>
      <c r="N1375" s="6">
        <v>46037</v>
      </c>
      <c r="O1375" s="5">
        <v>323.19</v>
      </c>
      <c r="P1375" s="8" t="str">
        <f>IF(AND(L1375&gt;0,O1375&gt;0),(O1375-L1375)/L1375,"")</f>
        <v/>
      </c>
      <c r="Q1375" s="9">
        <v>62</v>
      </c>
      <c r="R1375" s="9">
        <v>7</v>
      </c>
      <c r="S1375" s="19">
        <f>IF(N1375&gt;0,TODAY()-N1375,"")</f>
        <v>74</v>
      </c>
    </row>
    <row r="1376" ht="17" customHeight="1" spans="1:19" x14ac:dyDescent="0.25">
      <c r="A1376" s="11" t="s">
        <v>2723</v>
      </c>
      <c r="B1376" s="11" t="s">
        <v>2724</v>
      </c>
      <c r="C1376" s="11" t="s">
        <v>2761</v>
      </c>
      <c r="D1376" s="11" t="s">
        <v>2762</v>
      </c>
      <c r="E1376" s="12">
        <v>142</v>
      </c>
      <c r="F1376" s="13">
        <v>377.69328169014085</v>
      </c>
      <c r="G1376" s="14">
        <v>45663</v>
      </c>
      <c r="H1376" s="13">
        <v>193.99</v>
      </c>
      <c r="I1376" s="15" t="s">
        <v>24</v>
      </c>
      <c r="J1376" s="13"/>
      <c r="K1376" s="16" t="str">
        <f>IF(AND(H1376&gt;0,J1376&gt;0),(J1376-H1376)/H1376,"")</f>
        <v/>
      </c>
      <c r="L1376" s="13">
        <v>237.01</v>
      </c>
      <c r="M1376" s="20">
        <f>IF(AND(J1376&gt;0,L1376&gt;0),(L1376-J1376)/J1376,IF(AND(H1376&gt;0,L1376&gt;0),(L1376-H1376)/H1376,""))</f>
        <v>0.2217640084540439</v>
      </c>
      <c r="N1376" s="14">
        <v>46037</v>
      </c>
      <c r="O1376" s="13">
        <v>237.01</v>
      </c>
      <c r="P1376" s="16" t="str">
        <f>IF(AND(L1376&gt;0,O1376&gt;0),(O1376-L1376)/L1376,"")</f>
        <v/>
      </c>
      <c r="Q1376" s="18">
        <v>62</v>
      </c>
      <c r="R1376" s="18">
        <v>7</v>
      </c>
      <c r="S1376" s="19">
        <f>IF(N1376&gt;0,TODAY()-N1376,"")</f>
        <v>74</v>
      </c>
    </row>
  </sheetData>
  <autoFilter ref="A1:S1"/>
  <mergeCells count="8">
    <mergeCell ref="A2:S2"/>
    <mergeCell ref="A956:S956"/>
    <mergeCell ref="A1286:S1286"/>
    <mergeCell ref="A1298:S1298"/>
    <mergeCell ref="A1349:S1349"/>
    <mergeCell ref="A1351:S1351"/>
    <mergeCell ref="A1355:S1355"/>
    <mergeCell ref="A1357:S13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45" customWidth="1"/>
  </cols>
  <sheetData>
    <row r="1" spans="1:2" x14ac:dyDescent="0.25">
      <c r="A1" s="34" t="s">
        <v>2763</v>
      </c>
      <c r="B1" s="34" t="s">
        <v>2764</v>
      </c>
    </row>
    <row r="2" spans="1:2" x14ac:dyDescent="0.25">
      <c r="A2" s="35" t="s">
        <v>2765</v>
      </c>
      <c r="B2" s="35" t="s">
        <v>2766</v>
      </c>
    </row>
    <row r="3" spans="1:2" x14ac:dyDescent="0.25">
      <c r="A3" s="36" t="s">
        <v>2767</v>
      </c>
      <c r="B3" s="36" t="s">
        <v>2768</v>
      </c>
    </row>
    <row r="4" spans="1:2" x14ac:dyDescent="0.25">
      <c r="A4" s="35" t="s">
        <v>2769</v>
      </c>
      <c r="B4" s="35" t="s">
        <v>2770</v>
      </c>
    </row>
    <row r="5" spans="1:2" x14ac:dyDescent="0.25">
      <c r="A5" s="36" t="s">
        <v>2771</v>
      </c>
      <c r="B5" s="36" t="s">
        <v>2772</v>
      </c>
    </row>
    <row r="6" spans="1:2" x14ac:dyDescent="0.25">
      <c r="A6" s="35" t="s">
        <v>2773</v>
      </c>
      <c r="B6" s="35" t="s">
        <v>2774</v>
      </c>
    </row>
    <row r="7" spans="1:2" x14ac:dyDescent="0.25">
      <c r="A7" s="36" t="s">
        <v>2775</v>
      </c>
      <c r="B7" s="36" t="s">
        <v>2776</v>
      </c>
    </row>
    <row r="8" spans="1:2" x14ac:dyDescent="0.25">
      <c r="A8" s="35" t="s">
        <v>2777</v>
      </c>
      <c r="B8" s="35" t="s">
        <v>2778</v>
      </c>
    </row>
    <row r="9" spans="1:2" x14ac:dyDescent="0.25">
      <c r="A9" s="36" t="s">
        <v>2779</v>
      </c>
      <c r="B9" s="36" t="s">
        <v>2780</v>
      </c>
    </row>
    <row r="10" spans="1:2" x14ac:dyDescent="0.25">
      <c r="A10" s="35" t="s">
        <v>2781</v>
      </c>
      <c r="B10" s="35" t="s">
        <v>2782</v>
      </c>
    </row>
    <row r="11" spans="1:2" x14ac:dyDescent="0.25">
      <c r="A11" s="36" t="s">
        <v>2783</v>
      </c>
      <c r="B11" s="36" t="s">
        <v>2784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URUN FIYAT ANALIZ</vt:lpstr>
      <vt:lpstr>RENK ACIKLAMASI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Satin Alma Analiz</dc:creator>
  <dc:title/>
  <dc:subject/>
  <dc:description/>
  <cp:keywords/>
  <cp:category/>
  <cp:lastModifiedBy>Unknown</cp:lastModifiedBy>
  <dcterms:created xsi:type="dcterms:W3CDTF">2026-03-30T14:45:35Z</dcterms:created>
  <dcterms:modified xsi:type="dcterms:W3CDTF">2026-03-30T14:45:35Z</dcterms:modified>
</cp:coreProperties>
</file>